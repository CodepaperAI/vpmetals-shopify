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4c968759e42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74417e6c6f4c6e"/>
    <x:sheet xmlns:r="http://schemas.openxmlformats.org/officeDocument/2006/relationships" name="Product Mapping" sheetId="2" r:id="Re87bd9d8eda34235"/>
    <x:sheet xmlns:r="http://schemas.openxmlformats.org/officeDocument/2006/relationships" name="Shopify Existing" sheetId="3" r:id="R5d21e3a647dc4123"/>
    <x:sheet xmlns:r="http://schemas.openxmlformats.org/officeDocument/2006/relationships" name="Import Readiness" sheetId="4" r:id="Rd49763b7df4e4f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$#,##0.00"/>
    <x:numFmt numFmtId="202" formatCode="$#,##0.00;[Red]-$#,##0.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092C58"/>
      <x:name val="Carlito"/>
    </x:font>
    <x:font>
      <x:sz val="11"/>
      <x:color rgb="FF3440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92C58"/>
      </x:patternFill>
    </x:fill>
    <x:fill>
      <x:patternFill patternType="solid">
        <x:fgColor rgb="FF0B57B7"/>
      </x:patternFill>
    </x:fill>
    <x:fill>
      <x:patternFill patternType="solid">
        <x:fgColor rgb="FFEAF1FB"/>
      </x:patternFill>
    </x:fill>
    <x:fill>
      <x:patternFill patternType="solid">
        <x:fgColor rgb="FFD9E7FA"/>
      </x:patternFill>
    </x:fill>
  </x:fills>
  <x:borders count="4">
    <x:border/>
    <x:border>
      <x:bottom style="thin">
        <x:color rgb="FFE0E4EA"/>
      </x:bottom>
    </x:border>
    <x:border>
      <x:top style="thin">
        <x:color rgb="FFE0E4EA"/>
      </x:top>
      <x:bottom style="thin">
        <x:color rgb="FFE0E4EA"/>
      </x:bottom>
    </x:border>
    <x:border>
      <x:top style="thin">
        <x:color rgb="FFE0E4EA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2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17663A"/>
      </x:font>
      <x:fill>
        <x:patternFill patternType="solid">
          <x:bgColor rgb="FFDDF4E4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17663A"/>
      </x:font>
      <x:fill>
        <x:patternFill patternType="solid">
          <x:bgColor rgb="FFDDF4E4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092C58"/>
      </x:font>
      <x:fill>
        <x:patternFill patternType="solid">
          <x:bgColor rgb="FFD9E7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5d5136ed845fb" /><Relationship Type="http://schemas.openxmlformats.org/officeDocument/2006/relationships/theme" Target="/xl/theme/theme1.xml" Id="R98517131b7154abd" /><Relationship Type="http://schemas.openxmlformats.org/officeDocument/2006/relationships/sharedStrings" Target="/xl/sharedStrings.xml" Id="R2e389f2dbe6f49e5" /><Relationship Type="http://schemas.openxmlformats.org/officeDocument/2006/relationships/worksheet" Target="/xl/worksheets/sheet1.xml" Id="Rf774417e6c6f4c6e" /><Relationship Type="http://schemas.openxmlformats.org/officeDocument/2006/relationships/worksheet" Target="/xl/worksheets/sheet2.xml" Id="Re87bd9d8eda34235" /><Relationship Type="http://schemas.openxmlformats.org/officeDocument/2006/relationships/worksheet" Target="/xl/worksheets/sheet3.xml" Id="R5d21e3a647dc4123" /><Relationship Type="http://schemas.openxmlformats.org/officeDocument/2006/relationships/worksheet" Target="/xl/worksheets/sheet4.xml" Id="Rd49763b7df4e4f69" /><Relationship Type="http://schemas.microsoft.com/office/2017/10/relationships/person" Target="/xl/persons/person.xml" Id="R030e11510d384e45" /></Relationships>
</file>

<file path=xl/persons/person.xml><?xml version="1.0" encoding="utf-8"?>
<xltc:personList xmlns:xltc="http://schemas.microsoft.com/office/spreadsheetml/2018/threadedcomments">
  <xltc:person displayName="Uday Patel" id="{354B2F68-10A7-4B66-B02B-D6C5F0AA897F}"/>
</xltc:personList>
</file>

<file path=xl/tables/table1.xml><?xml version="1.0" encoding="utf-8"?>
<x:table xmlns:x="http://schemas.openxmlformats.org/spreadsheetml/2006/main" id="1" name="ProductMappingTable" displayName="ProductMappingTable" ref="A1:N73" headerRowCount="1" totalsRowCount="0" totalsRowShown="0">
  <x:tableColumns count="14">
    <x:tableColumn id="1" name="Website Slug"/>
    <x:tableColumn id="2" name="Product Name"/>
    <x:tableColumn id="3" name="Model"/>
    <x:tableColumn id="4" name="Collection"/>
    <x:tableColumn id="5" name="Category"/>
    <x:tableColumn id="6" name="Approved Price"/>
    <x:tableColumn id="7" name="Shopify Product ID"/>
    <x:tableColumn id="8" name="Shopify Current Title"/>
    <x:tableColumn id="9" name="Shopify Current Price"/>
    <x:tableColumn id="10" name="Available"/>
    <x:tableColumn id="11" name="Current SKU"/>
    <x:tableColumn id="12" name="Desired SKU"/>
    <x:tableColumn id="13" name="Migration Status"/>
    <x:tableColumn id="14" name="Price Dif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opifyExistingTable" displayName="ShopifyExistingTable" ref="A1:I14" headerRowCount="1" totalsRowCount="0" totalsRowShown="0">
  <x:tableColumns count="9">
    <x:tableColumn id="1" name="Shopify Product ID"/>
    <x:tableColumn id="2" name="Current Title"/>
    <x:tableColumn id="3" name="Verified Model"/>
    <x:tableColumn id="4" name="Current Price"/>
    <x:tableColumn id="5" name="Available"/>
    <x:tableColumn id="6" name="Current SKU"/>
    <x:tableColumn id="7" name="Desired SKU"/>
    <x:tableColumn id="8" name="Title Check"/>
    <x:tableColumn id="9" name="Price Che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portReadinessTable" displayName="ImportReadinessTable" ref="A1:F10" headerRowCount="1" totalsRowCount="0" totalsRowShown="0">
  <x:tableColumns count="6">
    <x:tableColumn id="1" name="Gate"/>
    <x:tableColumn id="2" name="Requirement"/>
    <x:tableColumn id="3" name="Owner"/>
    <x:tableColumn id="4" name="Status"/>
    <x:tableColumn id="5" name="Evidence"/>
    <x:tableColumn id="6" name="Block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41cfe3c53d4c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91986cf88b47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4a43eb2ebd46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2" t="str">
        <x:v>ProSteel Shopify Migration Control</x:v>
      </x:c>
      <x:c r="B1" s="2"/>
      <x:c r="C1" s="2"/>
      <x:c r="D1" s="2"/>
      <x:c r="E1" s="2"/>
      <x:c r="F1" s="2"/>
      <x:c r="G1" s="2"/>
      <x:c r="H1" s="2"/>
    </x:row>
    <x:row r="3">
      <x:c r="A3" s="4" t="str">
        <x:v>Control</x:v>
      </x:c>
      <x:c r="B3" s="4" t="str">
        <x:v>Value</x:v>
      </x:c>
    </x:row>
    <x:row r="4">
      <x:c r="A4" s="6" t="str">
        <x:v>Verified website products</x:v>
      </x:c>
      <x:c r="B4" s="8" t="n">
        <x:f>COUNTA('Product Mapping'!A2:A73)</x:f>
        <x:v>72</x:v>
      </x:c>
    </x:row>
    <x:row r="5">
      <x:c r="A5" s="6" t="str">
        <x:v>Existing Shopify products mapped</x:v>
      </x:c>
      <x:c r="B5" s="8" t="n">
        <x:f>B4-B6</x:f>
        <x:v>13</x:v>
      </x:c>
    </x:row>
    <x:row r="6">
      <x:c r="A6" s="6" t="str">
        <x:v>Products to create as drafts</x:v>
      </x:c>
      <x:c r="B6" s="8" t="n">
        <x:f>COUNTIF('Product Mapping'!M2:M73,"Create as draft")</x:f>
        <x:v>59</x:v>
      </x:c>
    </x:row>
    <x:row r="7">
      <x:c r="A7" s="6" t="str">
        <x:v>Existing price corrections required</x:v>
      </x:c>
      <x:c r="B7" s="8" t="n">
        <x:f>COUNTIF('Product Mapping'!M2:M73,"Existing - price correction")+COUNTIF('Product Mapping'!M2:M73,"Existing - title and price correction")</x:f>
        <x:v>13</x:v>
      </x:c>
    </x:row>
    <x:row r="8">
      <x:c r="A8" s="6" t="str">
        <x:v>Existing title corrections required</x:v>
      </x:c>
      <x:c r="B8" s="8" t="n">
        <x:f>COUNTIF('Product Mapping'!M2:M73,"Existing - title and price correction")</x:f>
        <x:v>1</x:v>
      </x:c>
    </x:row>
    <x:row r="10">
      <x:c r="A10" s="10" t="str">
        <x:v>Migration rules</x:v>
      </x:c>
      <x:c r="B10" s="10"/>
      <x:c r="C10" s="10"/>
      <x:c r="D10" s="10"/>
      <x:c r="E10" s="10"/>
      <x:c r="F10" s="10"/>
      <x:c r="G10" s="10"/>
      <x:c r="H10" s="10"/>
    </x:row>
    <x:row r="11" ht="24" customHeight="1">
      <x:c r="A11" s="12" t="str">
        <x:v>1. Preserve existing Shopify product IDs and available quantities.</x:v>
      </x:c>
      <x:c r="B11" s="12"/>
      <x:c r="C11" s="12"/>
      <x:c r="D11" s="12"/>
      <x:c r="E11" s="12"/>
      <x:c r="F11" s="12"/>
      <x:c r="G11" s="12"/>
      <x:c r="H11" s="12"/>
    </x:row>
    <x:row r="12" ht="24" customHeight="1">
      <x:c r="A12" s="12" t="str">
        <x:v>2. Use the verified website/brochure price as the approved storefront price.</x:v>
      </x:c>
      <x:c r="B12" s="12"/>
      <x:c r="C12" s="12"/>
      <x:c r="D12" s="12"/>
      <x:c r="E12" s="12"/>
      <x:c r="F12" s="12"/>
      <x:c r="G12" s="12"/>
      <x:c r="H12" s="12"/>
    </x:row>
    <x:row r="13" ht="24" customHeight="1">
      <x:c r="A13" s="12" t="str">
        <x:v>3. Assign a unique model-based SKU before any inventory import.</x:v>
      </x:c>
      <x:c r="B13" s="12"/>
      <x:c r="C13" s="12"/>
      <x:c r="D13" s="12"/>
      <x:c r="E13" s="12"/>
      <x:c r="F13" s="12"/>
      <x:c r="G13" s="12"/>
      <x:c r="H13" s="12"/>
    </x:row>
    <x:row r="14" ht="24" customHeight="1">
      <x:c r="A14" s="12" t="str">
        <x:v>4. Create missing products as drafts until media, specifications, and collection mapping pass QA.</x:v>
      </x:c>
      <x:c r="B14" s="12"/>
      <x:c r="C14" s="12"/>
      <x:c r="D14" s="12"/>
      <x:c r="E14" s="12"/>
      <x:c r="F14" s="12"/>
      <x:c r="G14" s="12"/>
      <x:c r="H14" s="12"/>
    </x:row>
    <x:row r="15" ht="24" customHeight="1">
      <x:c r="A15" s="12" t="str">
        <x:v>5. Build and test only in an unpublished theme; never overwrite or publish the live Canyon theme during migration.</x:v>
      </x:c>
      <x:c r="B15" s="12"/>
      <x:c r="C15" s="12"/>
      <x:c r="D15" s="12"/>
      <x:c r="E15" s="12"/>
      <x:c r="F15" s="12"/>
      <x:c r="G15" s="12"/>
      <x:c r="H15" s="12"/>
    </x:row>
  </x:sheetData>
  <x:mergeCells>
    <x:mergeCell ref="A1:H1"/>
    <x:mergeCell ref="A10:H10"/>
    <x:mergeCell ref="A11:H11"/>
    <x:mergeCell ref="A12:H12"/>
    <x:mergeCell ref="A13:H13"/>
    <x:mergeCell ref="A14:H1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14.670000076293945" hidden="0" customWidth="1"/>
    <x:col min="7" max="7" width="24" hidden="0" customWidth="1"/>
    <x:col min="8" max="8" width="24" hidden="0" customWidth="1"/>
    <x:col min="9" max="9" width="19.329999923706055" hidden="0" customWidth="1"/>
    <x:col min="10" max="10" width="9.670000076293945" hidden="0" customWidth="1"/>
    <x:col min="11" max="11" width="25" hidden="0" customWidth="1"/>
    <x:col min="12" max="12" width="25" hidden="0" customWidth="1"/>
    <x:col min="13" max="13" width="25" hidden="0" customWidth="1"/>
    <x:col min="14" max="14" width="15.109999656677246" hidden="0" customWidth="1"/>
  </x:cols>
  <x:sheetData>
    <x:row r="1" ht="15" hidden="0" customHeight="1">
      <x:c r="A1" s="14" t="str">
        <x:v>Website Slug</x:v>
      </x:c>
      <x:c r="B1" s="14" t="str">
        <x:v>Product Name</x:v>
      </x:c>
      <x:c r="C1" s="14" t="str">
        <x:v>Model</x:v>
      </x:c>
      <x:c r="D1" s="14" t="str">
        <x:v>Collection</x:v>
      </x:c>
      <x:c r="E1" s="14" t="str">
        <x:v>Category</x:v>
      </x:c>
      <x:c r="F1" s="14" t="str">
        <x:v>Approved Price</x:v>
      </x:c>
      <x:c r="G1" s="14" t="str">
        <x:v>Shopify Product ID</x:v>
      </x:c>
      <x:c r="H1" s="14" t="str">
        <x:v>Shopify Current Title</x:v>
      </x:c>
      <x:c r="I1" s="14" t="str">
        <x:v>Shopify Current Price</x:v>
      </x:c>
      <x:c r="J1" s="14" t="str">
        <x:v>Available</x:v>
      </x:c>
      <x:c r="K1" s="14" t="str">
        <x:v>Current SKU</x:v>
      </x:c>
      <x:c r="L1" s="14" t="str">
        <x:v>Desired SKU</x:v>
      </x:c>
      <x:c r="M1" s="14" t="str">
        <x:v>Migration Status</x:v>
      </x:c>
      <x:c r="N1" s="14" t="str">
        <x:v>Price Difference</x:v>
      </x:c>
    </x:row>
    <x:row r="2" ht="15" hidden="0" customHeight="1">
      <x:c r="A2" s="22" t="str">
        <x:v>pse-20-33-2</x:v>
      </x:c>
      <x:c r="B2" s="22" t="str">
        <x:v>2-Cylinder Gas Cage</x:v>
      </x:c>
      <x:c r="C2" s="22" t="str">
        <x:v>PSE 20-33-2</x:v>
      </x:c>
      <x:c r="D2" s="22" t="str">
        <x:v>gas-cage</x:v>
      </x:c>
      <x:c r="E2" s="22" t="str">
        <x:v>Propane &amp; BBQ</x:v>
      </x:c>
      <x:c r="F2" s="23" t="n">
        <x:v>501</x:v>
      </x:c>
      <x:c r="G2" s="22" t="str">
        <x:v>9193566240906</x:v>
      </x:c>
      <x:c r="H2" s="22" t="str">
        <x:v>PSE 20-33-2</x:v>
      </x:c>
      <x:c r="I2" s="23" t="n">
        <x:v>501.62</x:v>
      </x:c>
      <x:c r="J2" s="24" t="n">
        <x:v>5</x:v>
      </x:c>
      <x:c r="K2" s="22" t="str"/>
      <x:c r="L2" s="22" t="str">
        <x:v>PSE-20-33-2</x:v>
      </x:c>
      <x:c r="M2" s="22" t="str">
        <x:f>IF(G2="","Create as draft",IF(AND(H2&lt;&gt;C2,NOT(AND(C2="420-1",H2="PSE 420-1")),ABS(I2-F2)&gt;0.005),"Existing - title and price correction",IF(AND(H2&lt;&gt;C2,NOT(AND(C2="420-1",H2="PSE 420-1"))),"Existing - title correction",IF(ABS(I2-F2)&gt;0.005,"Existing - price correction","Existing - verified"))))</x:f>
        <x:v>Existing - price correction</x:v>
      </x:c>
      <x:c r="N2" s="25" t="n">
        <x:f>IF(I2="","",I2-F2)</x:f>
        <x:v>0.6200000000000045</x:v>
      </x:c>
    </x:row>
    <x:row r="3" ht="15" hidden="0" customHeight="1">
      <x:c r="A3" s="26" t="str">
        <x:v>pse-20-33-4</x:v>
      </x:c>
      <x:c r="B3" s="26" t="str">
        <x:v>4-Cylinder Gas Cage</x:v>
      </x:c>
      <x:c r="C3" s="26" t="str">
        <x:v>PSE 20-33-4</x:v>
      </x:c>
      <x:c r="D3" s="26" t="str">
        <x:v>gas-cage</x:v>
      </x:c>
      <x:c r="E3" s="26" t="str">
        <x:v>Propane &amp; BBQ</x:v>
      </x:c>
      <x:c r="F3" s="27" t="n">
        <x:v>550</x:v>
      </x:c>
      <x:c r="G3" s="26" t="str">
        <x:v>9193566142602</x:v>
      </x:c>
      <x:c r="H3" s="26" t="str">
        <x:v>PSE 20-33-4</x:v>
      </x:c>
      <x:c r="I3" s="27" t="n">
        <x:v>548.49</x:v>
      </x:c>
      <x:c r="J3" s="28" t="n">
        <x:v>7</x:v>
      </x:c>
      <x:c r="K3" s="26" t="str"/>
      <x:c r="L3" s="26" t="str">
        <x:v>PSE-20-33-4</x:v>
      </x:c>
      <x:c r="M3" s="26" t="str">
        <x:f>IF(G3="","Create as draft",IF(AND(H3&lt;&gt;C3,NOT(AND(C3="420-1",H3="PSE 420-1")),ABS(I3-F3)&gt;0.005),"Existing - title and price correction",IF(AND(H3&lt;&gt;C3,NOT(AND(C3="420-1",H3="PSE 420-1"))),"Existing - title correction",IF(ABS(I3-F3)&gt;0.005,"Existing - price correction","Existing - verified"))))</x:f>
        <x:v>Existing - price correction</x:v>
      </x:c>
      <x:c r="N3" s="29" t="n">
        <x:f>IF(I3="","",I3-F3)</x:f>
        <x:v>-1.509999999999991</x:v>
      </x:c>
    </x:row>
    <x:row r="4" ht="15" hidden="0" customHeight="1">
      <x:c r="A4" s="26" t="str">
        <x:v>pse-20-33-6</x:v>
      </x:c>
      <x:c r="B4" s="26" t="str">
        <x:v>6-Cylinder Gas Cage</x:v>
      </x:c>
      <x:c r="C4" s="26" t="str">
        <x:v>PSE 20-33-6</x:v>
      </x:c>
      <x:c r="D4" s="26" t="str">
        <x:v>gas-cage</x:v>
      </x:c>
      <x:c r="E4" s="26" t="str">
        <x:v>Propane &amp; BBQ</x:v>
      </x:c>
      <x:c r="F4" s="27" t="n">
        <x:v>635</x:v>
      </x:c>
      <x:c r="G4" s="26" t="str">
        <x:v>9193566175370</x:v>
      </x:c>
      <x:c r="H4" s="26" t="str">
        <x:v>PSE 20-33-6</x:v>
      </x:c>
      <x:c r="I4" s="27" t="n">
        <x:v>633.41</x:v>
      </x:c>
      <x:c r="J4" s="28" t="n">
        <x:v>9</x:v>
      </x:c>
      <x:c r="K4" s="26" t="str"/>
      <x:c r="L4" s="26" t="str">
        <x:v>PSE-20-33-6</x:v>
      </x:c>
      <x:c r="M4" s="26" t="str">
        <x:f>IF(G4="","Create as draft",IF(AND(H4&lt;&gt;C4,NOT(AND(C4="420-1",H4="PSE 420-1")),ABS(I4-F4)&gt;0.005),"Existing - title and price correction",IF(AND(H4&lt;&gt;C4,NOT(AND(C4="420-1",H4="PSE 420-1"))),"Existing - title correction",IF(ABS(I4-F4)&gt;0.005,"Existing - price correction","Existing - verified"))))</x:f>
        <x:v>Existing - price correction</x:v>
      </x:c>
      <x:c r="N4" s="29" t="n">
        <x:f>IF(I4="","",I4-F4)</x:f>
        <x:v>-1.5900000000000318</x:v>
      </x:c>
    </x:row>
    <x:row r="5" ht="15" hidden="0" customHeight="1">
      <x:c r="A5" s="26" t="str">
        <x:v>pse-100-20-8-18</x:v>
      </x:c>
      <x:c r="B5" s="26" t="str">
        <x:v>Dual-Capacity Cylinder Cage</x:v>
      </x:c>
      <x:c r="C5" s="26" t="str">
        <x:v>PSE 100-20-8-18</x:v>
      </x:c>
      <x:c r="D5" s="26" t="str">
        <x:v>gas-cage</x:v>
      </x:c>
      <x:c r="E5" s="26" t="str">
        <x:v>Propane &amp; BBQ</x:v>
      </x:c>
      <x:c r="F5" s="27" t="n">
        <x:v>1485</x:v>
      </x:c>
      <x:c r="G5" s="26" t="str">
        <x:v>9193566208138</x:v>
      </x:c>
      <x:c r="H5" s="26" t="str">
        <x:v>PSE 100-20-8-18</x:v>
      </x:c>
      <x:c r="I5" s="27" t="n">
        <x:v>1484.28</x:v>
      </x:c>
      <x:c r="J5" s="28" t="n">
        <x:v>4</x:v>
      </x:c>
      <x:c r="K5" s="26" t="str"/>
      <x:c r="L5" s="26" t="str">
        <x:v>PSE-100-20-8-18</x:v>
      </x:c>
      <x:c r="M5" s="26" t="str">
        <x:f>IF(G5="","Create as draft",IF(AND(H5&lt;&gt;C5,NOT(AND(C5="420-1",H5="PSE 420-1")),ABS(I5-F5)&gt;0.005),"Existing - title and price correction",IF(AND(H5&lt;&gt;C5,NOT(AND(C5="420-1",H5="PSE 420-1"))),"Existing - title correction",IF(ABS(I5-F5)&gt;0.005,"Existing - price correction","Existing - verified"))))</x:f>
        <x:v>Existing - price correction</x:v>
      </x:c>
      <x:c r="N5" s="29" t="n">
        <x:f>IF(I5="","",I5-F5)</x:f>
        <x:v>-0.7200000000000273</x:v>
      </x:c>
    </x:row>
    <x:row r="6" ht="15" hidden="0" customHeight="1">
      <x:c r="A6" s="26" t="str">
        <x:v>pse-33-12</x:v>
      </x:c>
      <x:c r="B6" s="26" t="str">
        <x:v>12-Cylinder 33 lb Cage</x:v>
      </x:c>
      <x:c r="C6" s="26" t="str">
        <x:v>PSE 33-12</x:v>
      </x:c>
      <x:c r="D6" s="26" t="str">
        <x:v>gas-cage</x:v>
      </x:c>
      <x:c r="E6" s="26" t="str">
        <x:v>Forklift</x:v>
      </x:c>
      <x:c r="F6" s="27" t="n">
        <x:v>1008</x:v>
      </x:c>
      <x:c r="G6" s="26" t="str">
        <x:v>9193578201226</x:v>
      </x:c>
      <x:c r="H6" s="26" t="str">
        <x:v>PSE 33-12</x:v>
      </x:c>
      <x:c r="I6" s="27" t="n">
        <x:v>1008.93</x:v>
      </x:c>
      <x:c r="J6" s="28" t="n">
        <x:v>10</x:v>
      </x:c>
      <x:c r="K6" s="26" t="str"/>
      <x:c r="L6" s="26" t="str">
        <x:v>PSE-33-12</x:v>
      </x:c>
      <x:c r="M6" s="26" t="str">
        <x:f>IF(G6="","Create as draft",IF(AND(H6&lt;&gt;C6,NOT(AND(C6="420-1",H6="PSE 420-1")),ABS(I6-F6)&gt;0.005),"Existing - title and price correction",IF(AND(H6&lt;&gt;C6,NOT(AND(C6="420-1",H6="PSE 420-1"))),"Existing - title correction",IF(ABS(I6-F6)&gt;0.005,"Existing - price correction","Existing - verified"))))</x:f>
        <x:v>Existing - price correction</x:v>
      </x:c>
      <x:c r="N6" s="29" t="n">
        <x:f>IF(I6="","",I6-F6)</x:f>
        <x:v>0.92999999999995</x:v>
      </x:c>
    </x:row>
    <x:row r="7" ht="15" hidden="0" customHeight="1">
      <x:c r="A7" s="26" t="str">
        <x:v>pse-20-24</x:v>
      </x:c>
      <x:c r="B7" s="26" t="str">
        <x:v>24-Cylinder BBQ Cage</x:v>
      </x:c>
      <x:c r="C7" s="26" t="str">
        <x:v>PSE 20-24</x:v>
      </x:c>
      <x:c r="D7" s="26" t="str">
        <x:v>gas-cage</x:v>
      </x:c>
      <x:c r="E7" s="26" t="str">
        <x:v>Propane &amp; BBQ</x:v>
      </x:c>
      <x:c r="F7" s="27" t="n">
        <x:v>1499</x:v>
      </x:c>
      <x:c r="G7" s="26" t="str">
        <x:v>9193578397834</x:v>
      </x:c>
      <x:c r="H7" s="26" t="str">
        <x:v>PSE 20-24</x:v>
      </x:c>
      <x:c r="I7" s="27" t="n">
        <x:v>1499.44</x:v>
      </x:c>
      <x:c r="J7" s="28" t="n">
        <x:v>3</x:v>
      </x:c>
      <x:c r="K7" s="26" t="str"/>
      <x:c r="L7" s="26" t="str">
        <x:v>PSE-20-24</x:v>
      </x:c>
      <x:c r="M7" s="26" t="str">
        <x:f>IF(G7="","Create as draft",IF(AND(H7&lt;&gt;C7,NOT(AND(C7="420-1",H7="PSE 420-1")),ABS(I7-F7)&gt;0.005),"Existing - title and price correction",IF(AND(H7&lt;&gt;C7,NOT(AND(C7="420-1",H7="PSE 420-1"))),"Existing - title correction",IF(ABS(I7-F7)&gt;0.005,"Existing - price correction","Existing - verified"))))</x:f>
        <x:v>Existing - price correction</x:v>
      </x:c>
      <x:c r="N7" s="29" t="n">
        <x:f>IF(I7="","",I7-F7)</x:f>
        <x:v>0.44000000000005457</x:v>
      </x:c>
    </x:row>
    <x:row r="8" ht="15" hidden="0" customHeight="1">
      <x:c r="A8" s="26" t="str">
        <x:v>pse-20-12</x:v>
      </x:c>
      <x:c r="B8" s="26" t="str">
        <x:v>12-Cylinder BBQ Cage</x:v>
      </x:c>
      <x:c r="C8" s="26" t="str">
        <x:v>PSE 20-12</x:v>
      </x:c>
      <x:c r="D8" s="26" t="str">
        <x:v>gas-cage</x:v>
      </x:c>
      <x:c r="E8" s="26" t="str">
        <x:v>Propane &amp; BBQ</x:v>
      </x:c>
      <x:c r="F8" s="27" t="n">
        <x:v>890</x:v>
      </x:c>
      <x:c r="G8" s="26" t="str">
        <x:v>9193578594442</x:v>
      </x:c>
      <x:c r="H8" s="26" t="str">
        <x:v>PSE 20-12</x:v>
      </x:c>
      <x:c r="I8" s="27" t="n">
        <x:v>891.46</x:v>
      </x:c>
      <x:c r="J8" s="28" t="n">
        <x:v>8</x:v>
      </x:c>
      <x:c r="K8" s="26" t="str"/>
      <x:c r="L8" s="26" t="str">
        <x:v>PSE-20-12</x:v>
      </x:c>
      <x:c r="M8" s="26" t="str">
        <x:f>IF(G8="","Create as draft",IF(AND(H8&lt;&gt;C8,NOT(AND(C8="420-1",H8="PSE 420-1")),ABS(I8-F8)&gt;0.005),"Existing - title and price correction",IF(AND(H8&lt;&gt;C8,NOT(AND(C8="420-1",H8="PSE 420-1"))),"Existing - title correction",IF(ABS(I8-F8)&gt;0.005,"Existing - price correction","Existing - verified"))))</x:f>
        <x:v>Existing - price correction</x:v>
      </x:c>
      <x:c r="N8" s="29" t="n">
        <x:f>IF(I8="","",I8-F8)</x:f>
        <x:v>1.4600000000000364</x:v>
      </x:c>
    </x:row>
    <x:row r="9" ht="15" hidden="0" customHeight="1">
      <x:c r="A9" s="26" t="str">
        <x:v>pse-33-18</x:v>
      </x:c>
      <x:c r="B9" s="26" t="str">
        <x:v>18-Cylinder Forklift Cage</x:v>
      </x:c>
      <x:c r="C9" s="26" t="str">
        <x:v>PSE 33-18</x:v>
      </x:c>
      <x:c r="D9" s="26" t="str">
        <x:v>gas-cage</x:v>
      </x:c>
      <x:c r="E9" s="26" t="str">
        <x:v>Forklift</x:v>
      </x:c>
      <x:c r="F9" s="27" t="n">
        <x:v>1249</x:v>
      </x:c>
      <x:c r="G9" s="26" t="str">
        <x:v>9193578889354</x:v>
      </x:c>
      <x:c r="H9" s="26" t="str">
        <x:v>PSE 33-12</x:v>
      </x:c>
      <x:c r="I9" s="27" t="n">
        <x:v>1249.12</x:v>
      </x:c>
      <x:c r="J9" s="28" t="n">
        <x:v>4</x:v>
      </x:c>
      <x:c r="K9" s="26" t="str"/>
      <x:c r="L9" s="26" t="str">
        <x:v>PSE-33-18</x:v>
      </x:c>
      <x:c r="M9" s="26" t="str">
        <x:f>IF(G9="","Create as draft",IF(AND(H9&lt;&gt;C9,NOT(AND(C9="420-1",H9="PSE 420-1")),ABS(I9-F9)&gt;0.005),"Existing - title and price correction",IF(AND(H9&lt;&gt;C9,NOT(AND(C9="420-1",H9="PSE 420-1"))),"Existing - title correction",IF(ABS(I9-F9)&gt;0.005,"Existing - price correction","Existing - verified"))))</x:f>
        <x:v>Existing - title and price correction</x:v>
      </x:c>
      <x:c r="N9" s="29" t="n">
        <x:f>IF(I9="","",I9-F9)</x:f>
        <x:v>0.11999999999989086</x:v>
      </x:c>
    </x:row>
    <x:row r="10" ht="15" hidden="0" customHeight="1">
      <x:c r="A10" s="26" t="str">
        <x:v>pse-33-8</x:v>
      </x:c>
      <x:c r="B10" s="26" t="str">
        <x:v>8-Cylinder Forklift Cage</x:v>
      </x:c>
      <x:c r="C10" s="26" t="str">
        <x:v>PSE 33-8</x:v>
      </x:c>
      <x:c r="D10" s="26" t="str">
        <x:v>gas-cage</x:v>
      </x:c>
      <x:c r="E10" s="26" t="str">
        <x:v>Forklift</x:v>
      </x:c>
      <x:c r="F10" s="27" t="n">
        <x:v>1042</x:v>
      </x:c>
      <x:c r="G10" s="26" t="str">
        <x:v>9193606971530</x:v>
      </x:c>
      <x:c r="H10" s="26" t="str">
        <x:v>PSE 33-8</x:v>
      </x:c>
      <x:c r="I10" s="27" t="n">
        <x:v>1042.74</x:v>
      </x:c>
      <x:c r="J10" s="28" t="n">
        <x:v>6</x:v>
      </x:c>
      <x:c r="K10" s="26" t="str"/>
      <x:c r="L10" s="26" t="str">
        <x:v>PSE-33-8</x:v>
      </x:c>
      <x:c r="M10" s="26" t="str">
        <x:f>IF(G10="","Create as draft",IF(AND(H10&lt;&gt;C10,NOT(AND(C10="420-1",H10="PSE 420-1")),ABS(I10-F10)&gt;0.005),"Existing - title and price correction",IF(AND(H10&lt;&gt;C10,NOT(AND(C10="420-1",H10="PSE 420-1"))),"Existing - title correction",IF(ABS(I10-F10)&gt;0.005,"Existing - price correction","Existing - verified"))))</x:f>
        <x:v>Existing - price correction</x:v>
      </x:c>
      <x:c r="N10" s="29" t="n">
        <x:f>IF(I10="","",I10-F10)</x:f>
        <x:v>0.7400000000000091</x:v>
      </x:c>
    </x:row>
    <x:row r="11" ht="15" hidden="0" customHeight="1">
      <x:c r="A11" s="26" t="str">
        <x:v>pse-20-18</x:v>
      </x:c>
      <x:c r="B11" s="26" t="str">
        <x:v>18-Cylinder BBQ Cage</x:v>
      </x:c>
      <x:c r="C11" s="26" t="str">
        <x:v>PSE 20-18</x:v>
      </x:c>
      <x:c r="D11" s="26" t="str">
        <x:v>gas-cage</x:v>
      </x:c>
      <x:c r="E11" s="26" t="str">
        <x:v>Propane &amp; BBQ</x:v>
      </x:c>
      <x:c r="F11" s="27" t="n">
        <x:v>1310</x:v>
      </x:c>
      <x:c r="G11" s="26" t="str">
        <x:v>9193579446410</x:v>
      </x:c>
      <x:c r="H11" s="26" t="str">
        <x:v>PSE 20-18</x:v>
      </x:c>
      <x:c r="I11" s="27" t="n">
        <x:v>1309.7</x:v>
      </x:c>
      <x:c r="J11" s="28" t="n">
        <x:v>11</x:v>
      </x:c>
      <x:c r="K11" s="26" t="str"/>
      <x:c r="L11" s="26" t="str">
        <x:v>PSE-20-18</x:v>
      </x:c>
      <x:c r="M11" s="26" t="str">
        <x:f>IF(G11="","Create as draft",IF(AND(H11&lt;&gt;C11,NOT(AND(C11="420-1",H11="PSE 420-1")),ABS(I11-F11)&gt;0.005),"Existing - title and price correction",IF(AND(H11&lt;&gt;C11,NOT(AND(C11="420-1",H11="PSE 420-1"))),"Existing - title correction",IF(ABS(I11-F11)&gt;0.005,"Existing - price correction","Existing - verified"))))</x:f>
        <x:v>Existing - price correction</x:v>
      </x:c>
      <x:c r="N11" s="29" t="n">
        <x:f>IF(I11="","",I11-F11)</x:f>
        <x:v>-0.2999999999999545</x:v>
      </x:c>
    </x:row>
    <x:row r="12" ht="15" hidden="0" customHeight="1">
      <x:c r="A12" s="26" t="str">
        <x:v>pse-33-147-8-4</x:v>
      </x:c>
      <x:c r="B12" s="26" t="str">
        <x:v>Combination Forklift &amp; Welding Cage</x:v>
      </x:c>
      <x:c r="C12" s="26" t="str">
        <x:v>PSE 33-147-8-4</x:v>
      </x:c>
      <x:c r="D12" s="26" t="str">
        <x:v>gas-cage</x:v>
      </x:c>
      <x:c r="E12" s="26" t="str">
        <x:v>Combination</x:v>
      </x:c>
      <x:c r="F12" s="27" t="n">
        <x:v>1567</x:v>
      </x:c>
      <x:c r="G12" s="26" t="str">
        <x:v>9193579872394</x:v>
      </x:c>
      <x:c r="H12" s="26" t="str">
        <x:v>PSE 33-147-8-4</x:v>
      </x:c>
      <x:c r="I12" s="27" t="n">
        <x:v>1567.33</x:v>
      </x:c>
      <x:c r="J12" s="28" t="n">
        <x:v>2</x:v>
      </x:c>
      <x:c r="K12" s="26" t="str"/>
      <x:c r="L12" s="26" t="str">
        <x:v>PSE-33-147-8-4</x:v>
      </x:c>
      <x:c r="M12" s="26" t="str">
        <x:f>IF(G12="","Create as draft",IF(AND(H12&lt;&gt;C12,NOT(AND(C12="420-1",H12="PSE 420-1")),ABS(I12-F12)&gt;0.005),"Existing - title and price correction",IF(AND(H12&lt;&gt;C12,NOT(AND(C12="420-1",H12="PSE 420-1"))),"Existing - title correction",IF(ABS(I12-F12)&gt;0.005,"Existing - price correction","Existing - verified"))))</x:f>
        <x:v>Existing - price correction</x:v>
      </x:c>
      <x:c r="N12" s="29" t="n">
        <x:f>IF(I12="","",I12-F12)</x:f>
        <x:v>0.32999999999992724</x:v>
      </x:c>
    </x:row>
    <x:row r="13" ht="15" hidden="0" customHeight="1">
      <x:c r="A13" s="26" t="str">
        <x:v>pse-147-7-8</x:v>
      </x:c>
      <x:c r="B13" s="26" t="str">
        <x:v>8-Cylinder Welding Cage</x:v>
      </x:c>
      <x:c r="C13" s="26" t="str">
        <x:v>PSE 147.7-8</x:v>
      </x:c>
      <x:c r="D13" s="26" t="str">
        <x:v>gas-cage</x:v>
      </x:c>
      <x:c r="E13" s="26" t="str">
        <x:v>Welding</x:v>
      </x:c>
      <x:c r="F13" s="27" t="n">
        <x:v>1520</x:v>
      </x:c>
      <x:c r="G13" s="26" t="str"/>
      <x:c r="H13" s="26" t="str"/>
      <x:c r="I13" s="27"/>
      <x:c r="J13" s="28"/>
      <x:c r="K13" s="26" t="str"/>
      <x:c r="L13" s="26" t="str">
        <x:v>PSE-147-7-8</x:v>
      </x:c>
      <x:c r="M13" s="26" t="str">
        <x:f>IF(G13="","Create as draft",IF(AND(H13&lt;&gt;C13,NOT(AND(C13="420-1",H13="PSE 420-1")),ABS(I13-F13)&gt;0.005),"Existing - title and price correction",IF(AND(H13&lt;&gt;C13,NOT(AND(C13="420-1",H13="PSE 420-1"))),"Existing - title correction",IF(ABS(I13-F13)&gt;0.005,"Existing - price correction","Existing - verified"))))</x:f>
        <x:v>Create as draft</x:v>
      </x:c>
      <x:c r="N13" s="29" t="str">
        <x:f>IF(I13="","",I13-F13)</x:f>
      </x:c>
    </x:row>
    <x:row r="14" ht="15" hidden="0" customHeight="1">
      <x:c r="A14" s="26" t="str">
        <x:v>pse-147-7-20</x:v>
      </x:c>
      <x:c r="B14" s="26" t="str">
        <x:v>20-Cylinder Welding Cage</x:v>
      </x:c>
      <x:c r="C14" s="26" t="str">
        <x:v>PSE 147.7-20</x:v>
      </x:c>
      <x:c r="D14" s="26" t="str">
        <x:v>gas-cage</x:v>
      </x:c>
      <x:c r="E14" s="26" t="str">
        <x:v>Welding</x:v>
      </x:c>
      <x:c r="F14" s="27" t="n">
        <x:v>1955</x:v>
      </x:c>
      <x:c r="G14" s="26" t="str"/>
      <x:c r="H14" s="26" t="str"/>
      <x:c r="I14" s="27"/>
      <x:c r="J14" s="28"/>
      <x:c r="K14" s="26" t="str"/>
      <x:c r="L14" s="26" t="str">
        <x:v>PSE-147-7-20</x:v>
      </x:c>
      <x:c r="M14" s="26" t="str">
        <x:f>IF(G14="","Create as draft",IF(AND(H14&lt;&gt;C14,NOT(AND(C14="420-1",H14="PSE 420-1")),ABS(I14-F14)&gt;0.005),"Existing - title and price correction",IF(AND(H14&lt;&gt;C14,NOT(AND(C14="420-1",H14="PSE 420-1"))),"Existing - title correction",IF(ABS(I14-F14)&gt;0.005,"Existing - price correction","Existing - verified"))))</x:f>
        <x:v>Create as draft</x:v>
      </x:c>
      <x:c r="N14" s="29" t="str">
        <x:f>IF(I14="","",I14-F14)</x:f>
      </x:c>
    </x:row>
    <x:row r="15" ht="15" hidden="0" customHeight="1">
      <x:c r="A15" s="26" t="str">
        <x:v>pse-147-7-16</x:v>
      </x:c>
      <x:c r="B15" s="26" t="str">
        <x:v>16-Cylinder Welding Cage</x:v>
      </x:c>
      <x:c r="C15" s="26" t="str">
        <x:v>PSE 147.7-16</x:v>
      </x:c>
      <x:c r="D15" s="26" t="str">
        <x:v>gas-cage</x:v>
      </x:c>
      <x:c r="E15" s="26" t="str">
        <x:v>Welding</x:v>
      </x:c>
      <x:c r="F15" s="27" t="n">
        <x:v>1350</x:v>
      </x:c>
      <x:c r="G15" s="26" t="str"/>
      <x:c r="H15" s="26" t="str"/>
      <x:c r="I15" s="27"/>
      <x:c r="J15" s="28"/>
      <x:c r="K15" s="26" t="str"/>
      <x:c r="L15" s="26" t="str">
        <x:v>PSE-147-7-16</x:v>
      </x:c>
      <x:c r="M15" s="26" t="str">
        <x:f>IF(G15="","Create as draft",IF(AND(H15&lt;&gt;C15,NOT(AND(C15="420-1",H15="PSE 420-1")),ABS(I15-F15)&gt;0.005),"Existing - title and price correction",IF(AND(H15&lt;&gt;C15,NOT(AND(C15="420-1",H15="PSE 420-1"))),"Existing - title correction",IF(ABS(I15-F15)&gt;0.005,"Existing - price correction","Existing - verified"))))</x:f>
        <x:v>Create as draft</x:v>
      </x:c>
      <x:c r="N15" s="29" t="str">
        <x:f>IF(I15="","",I15-F15)</x:f>
      </x:c>
    </x:row>
    <x:row r="16" ht="15" hidden="0" customHeight="1">
      <x:c r="A16" s="26" t="str">
        <x:v>pse-al-147-7-16</x:v>
      </x:c>
      <x:c r="B16" s="26" t="str">
        <x:v>Aluminum Oxygen Cylinder Cage</x:v>
      </x:c>
      <x:c r="C16" s="26" t="str">
        <x:v>PSE AL 147.7-16</x:v>
      </x:c>
      <x:c r="D16" s="26" t="str">
        <x:v>gas-cage</x:v>
      </x:c>
      <x:c r="E16" s="26" t="str">
        <x:v>Medical Gas</x:v>
      </x:c>
      <x:c r="F16" s="27" t="n">
        <x:v>1750</x:v>
      </x:c>
      <x:c r="G16" s="26" t="str"/>
      <x:c r="H16" s="26" t="str"/>
      <x:c r="I16" s="27"/>
      <x:c r="J16" s="28"/>
      <x:c r="K16" s="26" t="str"/>
      <x:c r="L16" s="26" t="str">
        <x:v>PSE-AL-147-7-16</x:v>
      </x:c>
      <x:c r="M16" s="26" t="str">
        <x:f>IF(G16="","Create as draft",IF(AND(H16&lt;&gt;C16,NOT(AND(C16="420-1",H16="PSE 420-1")),ABS(I16-F16)&gt;0.005),"Existing - title and price correction",IF(AND(H16&lt;&gt;C16,NOT(AND(C16="420-1",H16="PSE 420-1"))),"Existing - title correction",IF(ABS(I16-F16)&gt;0.005,"Existing - price correction","Existing - verified"))))</x:f>
        <x:v>Create as draft</x:v>
      </x:c>
      <x:c r="N16" s="29" t="str">
        <x:f>IF(I16="","",I16-F16)</x:f>
      </x:c>
    </x:row>
    <x:row r="17" ht="15" hidden="0" customHeight="1">
      <x:c r="A17" s="26" t="str">
        <x:v>pse-fwb</x:v>
      </x:c>
      <x:c r="B17" s="26" t="str">
        <x:v>Firewood Bundle Cage</x:v>
      </x:c>
      <x:c r="C17" s="26" t="str">
        <x:v>PSE FWB</x:v>
      </x:c>
      <x:c r="D17" s="26" t="str">
        <x:v>gas-cage</x:v>
      </x:c>
      <x:c r="E17" s="26" t="str">
        <x:v>Specialty Carrier</x:v>
      </x:c>
      <x:c r="F17" s="27" t="n">
        <x:v>1440</x:v>
      </x:c>
      <x:c r="G17" s="26" t="str">
        <x:v>9193580757130</x:v>
      </x:c>
      <x:c r="H17" s="26" t="str">
        <x:v>PSE FWB</x:v>
      </x:c>
      <x:c r="I17" s="27" t="n">
        <x:v>1141.9</x:v>
      </x:c>
      <x:c r="J17" s="28" t="n">
        <x:v>3</x:v>
      </x:c>
      <x:c r="K17" s="26" t="str"/>
      <x:c r="L17" s="26" t="str">
        <x:v>PSE-FWB</x:v>
      </x:c>
      <x:c r="M17" s="26" t="str">
        <x:f>IF(G17="","Create as draft",IF(AND(H17&lt;&gt;C17,NOT(AND(C17="420-1",H17="PSE 420-1")),ABS(I17-F17)&gt;0.005),"Existing - title and price correction",IF(AND(H17&lt;&gt;C17,NOT(AND(C17="420-1",H17="PSE 420-1"))),"Existing - title correction",IF(ABS(I17-F17)&gt;0.005,"Existing - price correction","Existing - verified"))))</x:f>
        <x:v>Existing - price correction</x:v>
      </x:c>
      <x:c r="N17" s="29" t="n">
        <x:f>IF(I17="","",I17-F17)</x:f>
        <x:v>-298.0999999999999</x:v>
      </x:c>
    </x:row>
    <x:row r="18" ht="15" hidden="0" customHeight="1">
      <x:c r="A18" s="26" t="str">
        <x:v>model-420-1</x:v>
      </x:c>
      <x:c r="B18" s="26" t="str">
        <x:v>Forklift / Crane Bottle Carrier</x:v>
      </x:c>
      <x:c r="C18" s="26" t="str">
        <x:v>420-1</x:v>
      </x:c>
      <x:c r="D18" s="26" t="str">
        <x:v>gas-cage</x:v>
      </x:c>
      <x:c r="E18" s="26" t="str">
        <x:v>Specialty Carrier</x:v>
      </x:c>
      <x:c r="F18" s="27" t="n">
        <x:v>853</x:v>
      </x:c>
      <x:c r="G18" s="26" t="str">
        <x:v>9193619980426</x:v>
      </x:c>
      <x:c r="H18" s="26" t="str">
        <x:v>PSE 420-1</x:v>
      </x:c>
      <x:c r="I18" s="27" t="n">
        <x:v>852.91</x:v>
      </x:c>
      <x:c r="J18" s="28" t="n">
        <x:v>4</x:v>
      </x:c>
      <x:c r="K18" s="26" t="str"/>
      <x:c r="L18" s="26" t="str">
        <x:v>PSE-420-1</x:v>
      </x:c>
      <x:c r="M18" s="26" t="str">
        <x:f>IF(G18="","Create as draft",IF(AND(H18&lt;&gt;C18,NOT(AND(C18="420-1",H18="PSE 420-1")),ABS(I18-F18)&gt;0.005),"Existing - title and price correction",IF(AND(H18&lt;&gt;C18,NOT(AND(C18="420-1",H18="PSE 420-1"))),"Existing - title correction",IF(ABS(I18-F18)&gt;0.005,"Existing - price correction","Existing - verified"))))</x:f>
        <x:v>Existing - price correction</x:v>
      </x:c>
      <x:c r="N18" s="29" t="n">
        <x:f>IF(I18="","",I18-F18)</x:f>
        <x:v>-0.09000000000003183</x:v>
      </x:c>
    </x:row>
    <x:row r="19" ht="15" hidden="0" customHeight="1">
      <x:c r="A19" s="26" t="str">
        <x:v>economy-a-frame</x:v>
      </x:c>
      <x:c r="B19" s="26" t="str">
        <x:v>Economy A-Frame</x:v>
      </x:c>
      <x:c r="C19" s="26" t="str">
        <x:v>Economy A-Frame</x:v>
      </x:c>
      <x:c r="D19" s="26" t="str">
        <x:v>material-rack</x:v>
      </x:c>
      <x:c r="E19" s="26" t="str">
        <x:v>A-Frame</x:v>
      </x:c>
      <x:c r="F19" s="27" t="n">
        <x:v>550</x:v>
      </x:c>
      <x:c r="G19" s="26" t="str"/>
      <x:c r="H19" s="26" t="str"/>
      <x:c r="I19" s="27"/>
      <x:c r="J19" s="28"/>
      <x:c r="K19" s="26" t="str"/>
      <x:c r="L19" s="26" t="str">
        <x:v>PSE-ECONOMY-A-FRAME</x:v>
      </x:c>
      <x:c r="M19" s="26" t="str">
        <x:f>IF(G19="","Create as draft",IF(AND(H19&lt;&gt;C19,NOT(AND(C19="420-1",H19="PSE 420-1")),ABS(I19-F19)&gt;0.005),"Existing - title and price correction",IF(AND(H19&lt;&gt;C19,NOT(AND(C19="420-1",H19="PSE 420-1"))),"Existing - title correction",IF(ABS(I19-F19)&gt;0.005,"Existing - price correction","Existing - verified"))))</x:f>
        <x:v>Create as draft</x:v>
      </x:c>
      <x:c r="N19" s="29" t="str">
        <x:f>IF(I19="","",I19-F19)</x:f>
      </x:c>
    </x:row>
    <x:row r="20" ht="15" hidden="0" customHeight="1">
      <x:c r="A20" s="26" t="str">
        <x:v>single-sided-a-frame</x:v>
      </x:c>
      <x:c r="B20" s="26" t="str">
        <x:v>Single-Sided A-Frame</x:v>
      </x:c>
      <x:c r="C20" s="26" t="str">
        <x:v>Single-Sided A-Frame</x:v>
      </x:c>
      <x:c r="D20" s="26" t="str">
        <x:v>material-rack</x:v>
      </x:c>
      <x:c r="E20" s="26" t="str">
        <x:v>A-Frame</x:v>
      </x:c>
      <x:c r="F20" s="27" t="n">
        <x:v>490</x:v>
      </x:c>
      <x:c r="G20" s="26" t="str"/>
      <x:c r="H20" s="26" t="str"/>
      <x:c r="I20" s="27"/>
      <x:c r="J20" s="28"/>
      <x:c r="K20" s="26" t="str"/>
      <x:c r="L20" s="26" t="str">
        <x:v>PSE-SINGLE-SIDED-A-FRAME</x:v>
      </x:c>
      <x:c r="M20" s="26" t="str">
        <x:f>IF(G20="","Create as draft",IF(AND(H20&lt;&gt;C20,NOT(AND(C20="420-1",H20="PSE 420-1")),ABS(I20-F20)&gt;0.005),"Existing - title and price correction",IF(AND(H20&lt;&gt;C20,NOT(AND(C20="420-1",H20="PSE 420-1"))),"Existing - title correction",IF(ABS(I20-F20)&gt;0.005,"Existing - price correction","Existing - verified"))))</x:f>
        <x:v>Create as draft</x:v>
      </x:c>
      <x:c r="N20" s="29" t="str">
        <x:f>IF(I20="","",I20-F20)</x:f>
      </x:c>
    </x:row>
    <x:row r="21" ht="15" hidden="0" customHeight="1">
      <x:c r="A21" s="26" t="str">
        <x:v>heavy-duty-a-frame</x:v>
      </x:c>
      <x:c r="B21" s="26" t="str">
        <x:v>Heavy Duty A-Frame</x:v>
      </x:c>
      <x:c r="C21" s="26" t="str">
        <x:v>Heavy Duty A-Frame</x:v>
      </x:c>
      <x:c r="D21" s="26" t="str">
        <x:v>material-rack</x:v>
      </x:c>
      <x:c r="E21" s="26" t="str">
        <x:v>A-Frame</x:v>
      </x:c>
      <x:c r="F21" s="27" t="n">
        <x:v>1450</x:v>
      </x:c>
      <x:c r="G21" s="26" t="str"/>
      <x:c r="H21" s="26" t="str"/>
      <x:c r="I21" s="27"/>
      <x:c r="J21" s="28"/>
      <x:c r="K21" s="26" t="str"/>
      <x:c r="L21" s="26" t="str">
        <x:v>PSE-HEAVY-DUTY-A-FRAME</x:v>
      </x:c>
      <x:c r="M21" s="26" t="str">
        <x:f>IF(G21="","Create as draft",IF(AND(H21&lt;&gt;C21,NOT(AND(C21="420-1",H21="PSE 420-1")),ABS(I21-F21)&gt;0.005),"Existing - title and price correction",IF(AND(H21&lt;&gt;C21,NOT(AND(C21="420-1",H21="PSE 420-1"))),"Existing - title correction",IF(ABS(I21-F21)&gt;0.005,"Existing - price correction","Existing - verified"))))</x:f>
        <x:v>Create as draft</x:v>
      </x:c>
      <x:c r="N21" s="29" t="str">
        <x:f>IF(I21="","",I21-F21)</x:f>
      </x:c>
    </x:row>
    <x:row r="22" ht="15" hidden="0" customHeight="1">
      <x:c r="A22" s="26" t="str">
        <x:v>double-sided-transport-rack</x:v>
      </x:c>
      <x:c r="B22" s="26" t="str">
        <x:v>Double-Sided Transport &amp; Storage Rack</x:v>
      </x:c>
      <x:c r="C22" s="26" t="str">
        <x:v>Double-Sided Transport Rack</x:v>
      </x:c>
      <x:c r="D22" s="26" t="str">
        <x:v>material-rack</x:v>
      </x:c>
      <x:c r="E22" s="26" t="str">
        <x:v>Transport Rack</x:v>
      </x:c>
      <x:c r="F22" s="27" t="n">
        <x:v>1690</x:v>
      </x:c>
      <x:c r="G22" s="26" t="str"/>
      <x:c r="H22" s="26" t="str"/>
      <x:c r="I22" s="27"/>
      <x:c r="J22" s="28"/>
      <x:c r="K22" s="26" t="str"/>
      <x:c r="L22" s="26" t="str">
        <x:v>PSE-DOUBLE-SIDED-TRANSPORT-RACK</x:v>
      </x:c>
      <x:c r="M22" s="26" t="str">
        <x:f>IF(G22="","Create as draft",IF(AND(H22&lt;&gt;C22,NOT(AND(C22="420-1",H22="PSE 420-1")),ABS(I22-F22)&gt;0.005),"Existing - title and price correction",IF(AND(H22&lt;&gt;C22,NOT(AND(C22="420-1",H22="PSE 420-1"))),"Existing - title correction",IF(ABS(I22-F22)&gt;0.005,"Existing - price correction","Existing - verified"))))</x:f>
        <x:v>Create as draft</x:v>
      </x:c>
      <x:c r="N22" s="29" t="str">
        <x:f>IF(I22="","",I22-F22)</x:f>
      </x:c>
    </x:row>
    <x:row r="23" ht="15" hidden="0" customHeight="1">
      <x:c r="A23" s="26" t="str">
        <x:v>modular-transport-rack</x:v>
      </x:c>
      <x:c r="B23" s="26" t="str">
        <x:v>Metal Modular Transport Rack</x:v>
      </x:c>
      <x:c r="C23" s="26" t="str">
        <x:v>Modular Transport Rack</x:v>
      </x:c>
      <x:c r="D23" s="26" t="str">
        <x:v>material-rack</x:v>
      </x:c>
      <x:c r="E23" s="26" t="str">
        <x:v>Transport Rack</x:v>
      </x:c>
      <x:c r="F23" s="27" t="n">
        <x:v>1250</x:v>
      </x:c>
      <x:c r="G23" s="26" t="str"/>
      <x:c r="H23" s="26" t="str"/>
      <x:c r="I23" s="27"/>
      <x:c r="J23" s="28"/>
      <x:c r="K23" s="26" t="str"/>
      <x:c r="L23" s="26" t="str">
        <x:v>PSE-MODULAR-TRANSPORT-RACK</x:v>
      </x:c>
      <x:c r="M23" s="26" t="str">
        <x:f>IF(G23="","Create as draft",IF(AND(H23&lt;&gt;C23,NOT(AND(C23="420-1",H23="PSE 420-1")),ABS(I23-F23)&gt;0.005),"Existing - title and price correction",IF(AND(H23&lt;&gt;C23,NOT(AND(C23="420-1",H23="PSE 420-1"))),"Existing - title correction",IF(ABS(I23-F23)&gt;0.005,"Existing - price correction","Existing - verified"))))</x:f>
        <x:v>Create as draft</x:v>
      </x:c>
      <x:c r="N23" s="29" t="str">
        <x:f>IF(I23="","",I23-F23)</x:f>
      </x:c>
    </x:row>
    <x:row r="24" ht="15" hidden="0" customHeight="1">
      <x:c r="A24" s="26" t="str">
        <x:v>mobile-a-frame</x:v>
      </x:c>
      <x:c r="B24" s="26" t="str">
        <x:v>Mobile A-Frame Transport Rack</x:v>
      </x:c>
      <x:c r="C24" s="26" t="str">
        <x:v>Mobile A-Frame</x:v>
      </x:c>
      <x:c r="D24" s="26" t="str">
        <x:v>material-rack</x:v>
      </x:c>
      <x:c r="E24" s="26" t="str">
        <x:v>Mobile Rack</x:v>
      </x:c>
      <x:c r="F24" s="27" t="n">
        <x:v>1800</x:v>
      </x:c>
      <x:c r="G24" s="26" t="str"/>
      <x:c r="H24" s="26" t="str"/>
      <x:c r="I24" s="27"/>
      <x:c r="J24" s="28"/>
      <x:c r="K24" s="26" t="str"/>
      <x:c r="L24" s="26" t="str">
        <x:v>PSE-MOBILE-A-FRAME</x:v>
      </x:c>
      <x:c r="M24" s="26" t="str">
        <x:f>IF(G24="","Create as draft",IF(AND(H24&lt;&gt;C24,NOT(AND(C24="420-1",H24="PSE 420-1")),ABS(I24-F24)&gt;0.005),"Existing - title and price correction",IF(AND(H24&lt;&gt;C24,NOT(AND(C24="420-1",H24="PSE 420-1"))),"Existing - title correction",IF(ABS(I24-F24)&gt;0.005,"Existing - price correction","Existing - verified"))))</x:f>
        <x:v>Create as draft</x:v>
      </x:c>
      <x:c r="N24" s="29" t="str">
        <x:f>IF(I24="","",I24-F24)</x:f>
      </x:c>
    </x:row>
    <x:row r="25" ht="15" hidden="0" customHeight="1">
      <x:c r="A25" s="26" t="str">
        <x:v>mobile-l-frame</x:v>
      </x:c>
      <x:c r="B25" s="26" t="str">
        <x:v>Mobile L-Frame Transport Rack</x:v>
      </x:c>
      <x:c r="C25" s="26" t="str">
        <x:v>Mobile L-Frame</x:v>
      </x:c>
      <x:c r="D25" s="26" t="str">
        <x:v>material-rack</x:v>
      </x:c>
      <x:c r="E25" s="26" t="str">
        <x:v>Mobile Rack</x:v>
      </x:c>
      <x:c r="F25" s="27" t="n">
        <x:v>1345</x:v>
      </x:c>
      <x:c r="G25" s="26" t="str"/>
      <x:c r="H25" s="26" t="str"/>
      <x:c r="I25" s="27"/>
      <x:c r="J25" s="28"/>
      <x:c r="K25" s="26" t="str"/>
      <x:c r="L25" s="26" t="str">
        <x:v>PSE-MOBILE-L-FRAME</x:v>
      </x:c>
      <x:c r="M25" s="26" t="str">
        <x:f>IF(G25="","Create as draft",IF(AND(H25&lt;&gt;C25,NOT(AND(C25="420-1",H25="PSE 420-1")),ABS(I25-F25)&gt;0.005),"Existing - title and price correction",IF(AND(H25&lt;&gt;C25,NOT(AND(C25="420-1",H25="PSE 420-1"))),"Existing - title correction",IF(ABS(I25-F25)&gt;0.005,"Existing - price correction","Existing - verified"))))</x:f>
        <x:v>Create as draft</x:v>
      </x:c>
      <x:c r="N25" s="29" t="str">
        <x:f>IF(I25="","",I25-F25)</x:f>
      </x:c>
    </x:row>
    <x:row r="26" ht="15" hidden="0" customHeight="1">
      <x:c r="A26" s="26" t="str">
        <x:v>stone-fabrication-a-frame</x:v>
      </x:c>
      <x:c r="B26" s="26" t="str">
        <x:v>Stone Fabrication A-Frame</x:v>
      </x:c>
      <x:c r="C26" s="26" t="str">
        <x:v>Double-Sided Stone A-Frame</x:v>
      </x:c>
      <x:c r="D26" s="26" t="str">
        <x:v>material-rack</x:v>
      </x:c>
      <x:c r="E26" s="26" t="str">
        <x:v>A-Frame</x:v>
      </x:c>
      <x:c r="F26" s="27" t="n">
        <x:v>475</x:v>
      </x:c>
      <x:c r="G26" s="26" t="str"/>
      <x:c r="H26" s="26" t="str"/>
      <x:c r="I26" s="27"/>
      <x:c r="J26" s="28"/>
      <x:c r="K26" s="26" t="str"/>
      <x:c r="L26" s="26" t="str">
        <x:v>PSE-DOUBLE-SIDED-STONE-A-FRAME</x:v>
      </x:c>
      <x:c r="M26" s="26" t="str">
        <x:f>IF(G26="","Create as draft",IF(AND(H26&lt;&gt;C26,NOT(AND(C26="420-1",H26="PSE 420-1")),ABS(I26-F26)&gt;0.005),"Existing - title and price correction",IF(AND(H26&lt;&gt;C26,NOT(AND(C26="420-1",H26="PSE 420-1"))),"Existing - title correction",IF(ABS(I26-F26)&gt;0.005,"Existing - price correction","Existing - verified"))))</x:f>
        <x:v>Create as draft</x:v>
      </x:c>
      <x:c r="N26" s="29" t="str">
        <x:f>IF(I26="","",I26-F26)</x:f>
      </x:c>
    </x:row>
    <x:row r="27" ht="15" hidden="0" customHeight="1">
      <x:c r="A27" s="26" t="str">
        <x:v>solo-shelf-rack</x:v>
      </x:c>
      <x:c r="B27" s="26" t="str">
        <x:v>Solo Shelf Rack</x:v>
      </x:c>
      <x:c r="C27" s="26" t="str">
        <x:v>Solo Shelf Rack - 2 Piece</x:v>
      </x:c>
      <x:c r="D27" s="26" t="str">
        <x:v>material-rack</x:v>
      </x:c>
      <x:c r="E27" s="26" t="str">
        <x:v>Single-Sided Rack</x:v>
      </x:c>
      <x:c r="F27" s="27" t="n">
        <x:v>1550</x:v>
      </x:c>
      <x:c r="G27" s="26" t="str"/>
      <x:c r="H27" s="26" t="str"/>
      <x:c r="I27" s="27"/>
      <x:c r="J27" s="28"/>
      <x:c r="K27" s="26" t="str"/>
      <x:c r="L27" s="26" t="str">
        <x:v>PSE-SOLO-SHELF-RACK-2-PIECE</x:v>
      </x:c>
      <x:c r="M27" s="26" t="str">
        <x:f>IF(G27="","Create as draft",IF(AND(H27&lt;&gt;C27,NOT(AND(C27="420-1",H27="PSE 420-1")),ABS(I27-F27)&gt;0.005),"Existing - title and price correction",IF(AND(H27&lt;&gt;C27,NOT(AND(C27="420-1",H27="PSE 420-1"))),"Existing - title correction",IF(ABS(I27-F27)&gt;0.005,"Existing - price correction","Existing - verified"))))</x:f>
        <x:v>Create as draft</x:v>
      </x:c>
      <x:c r="N27" s="29" t="str">
        <x:f>IF(I27="","",I27-F27)</x:f>
      </x:c>
    </x:row>
    <x:row r="28" ht="15" hidden="0" customHeight="1">
      <x:c r="A28" s="26" t="str">
        <x:v>one-side-l-frame</x:v>
      </x:c>
      <x:c r="B28" s="26" t="str">
        <x:v>One-Side L-Frame for Glass</x:v>
      </x:c>
      <x:c r="C28" s="26" t="str">
        <x:v>One-Side L-Frame</x:v>
      </x:c>
      <x:c r="D28" s="26" t="str">
        <x:v>material-rack</x:v>
      </x:c>
      <x:c r="E28" s="26" t="str">
        <x:v>Single-Sided Rack</x:v>
      </x:c>
      <x:c r="F28" s="27" t="n">
        <x:v>1350</x:v>
      </x:c>
      <x:c r="G28" s="26" t="str"/>
      <x:c r="H28" s="26" t="str"/>
      <x:c r="I28" s="27"/>
      <x:c r="J28" s="28"/>
      <x:c r="K28" s="26" t="str"/>
      <x:c r="L28" s="26" t="str">
        <x:v>PSE-ONE-SIDE-L-FRAME</x:v>
      </x:c>
      <x:c r="M28" s="26" t="str">
        <x:f>IF(G28="","Create as draft",IF(AND(H28&lt;&gt;C28,NOT(AND(C28="420-1",H28="PSE 420-1")),ABS(I28-F28)&gt;0.005),"Existing - title and price correction",IF(AND(H28&lt;&gt;C28,NOT(AND(C28="420-1",H28="PSE 420-1"))),"Existing - title correction",IF(ABS(I28-F28)&gt;0.005,"Existing - price correction","Existing - verified"))))</x:f>
        <x:v>Create as draft</x:v>
      </x:c>
      <x:c r="N28" s="29" t="str">
        <x:f>IF(I28="","",I28-F28)</x:f>
      </x:c>
    </x:row>
    <x:row r="29" ht="15" hidden="0" customHeight="1">
      <x:c r="A29" s="26" t="str">
        <x:v>heavy-duty-double-sided-a-frame</x:v>
      </x:c>
      <x:c r="B29" s="26" t="str">
        <x:v>Heavy Duty Double-Sided A-Frame</x:v>
      </x:c>
      <x:c r="C29" s="26" t="str">
        <x:v>Heavy Duty Double-Sided A-Frame</x:v>
      </x:c>
      <x:c r="D29" s="26" t="str">
        <x:v>material-rack</x:v>
      </x:c>
      <x:c r="E29" s="26" t="str">
        <x:v>A-Frame</x:v>
      </x:c>
      <x:c r="F29" s="27" t="n">
        <x:v>1450</x:v>
      </x:c>
      <x:c r="G29" s="26" t="str"/>
      <x:c r="H29" s="26" t="str"/>
      <x:c r="I29" s="27"/>
      <x:c r="J29" s="28"/>
      <x:c r="K29" s="26" t="str"/>
      <x:c r="L29" s="26" t="str">
        <x:v>PSE-HEAVY-DUTY-DOUBLE-SIDED-A-FRAME</x:v>
      </x:c>
      <x:c r="M29" s="26" t="str">
        <x:f>IF(G29="","Create as draft",IF(AND(H29&lt;&gt;C29,NOT(AND(C29="420-1",H29="PSE 420-1")),ABS(I29-F29)&gt;0.005),"Existing - title and price correction",IF(AND(H29&lt;&gt;C29,NOT(AND(C29="420-1",H29="PSE 420-1"))),"Existing - title correction",IF(ABS(I29-F29)&gt;0.005,"Existing - price correction","Existing - verified"))))</x:f>
        <x:v>Create as draft</x:v>
      </x:c>
      <x:c r="N29" s="29" t="str">
        <x:f>IF(I29="","",I29-F29)</x:f>
      </x:c>
    </x:row>
    <x:row r="30" ht="15" hidden="0" customHeight="1">
      <x:c r="A30" s="26" t="str">
        <x:v>multi-purpose-slab-rack</x:v>
      </x:c>
      <x:c r="B30" s="26" t="str">
        <x:v>Multi-Purpose Slab Rack</x:v>
      </x:c>
      <x:c r="C30" s="26" t="str">
        <x:v>PSE PS10</x:v>
      </x:c>
      <x:c r="D30" s="26" t="str">
        <x:v>material-rack</x:v>
      </x:c>
      <x:c r="E30" s="26" t="str">
        <x:v>Slab Rack</x:v>
      </x:c>
      <x:c r="F30" s="27" t="n">
        <x:v>2850</x:v>
      </x:c>
      <x:c r="G30" s="26" t="str"/>
      <x:c r="H30" s="26" t="str"/>
      <x:c r="I30" s="27"/>
      <x:c r="J30" s="28"/>
      <x:c r="K30" s="26" t="str"/>
      <x:c r="L30" s="26" t="str">
        <x:v>PSE-PS10</x:v>
      </x:c>
      <x:c r="M30" s="26" t="str">
        <x:f>IF(G30="","Create as draft",IF(AND(H30&lt;&gt;C30,NOT(AND(C30="420-1",H30="PSE 420-1")),ABS(I30-F30)&gt;0.005),"Existing - title and price correction",IF(AND(H30&lt;&gt;C30,NOT(AND(C30="420-1",H30="PSE 420-1"))),"Existing - title correction",IF(ABS(I30-F30)&gt;0.005,"Existing - price correction","Existing - verified"))))</x:f>
        <x:v>Create as draft</x:v>
      </x:c>
      <x:c r="N30" s="29" t="str">
        <x:f>IF(I30="","",I30-F30)</x:f>
      </x:c>
    </x:row>
    <x:row r="31" ht="15" hidden="0" customHeight="1">
      <x:c r="A31" s="26" t="str">
        <x:v>heavy-duty-bundle-slab-rack</x:v>
      </x:c>
      <x:c r="B31" s="26" t="str">
        <x:v>Heavy-Duty Bundle Slab Rack With Rubber Cap</x:v>
      </x:c>
      <x:c r="C31" s="26" t="str">
        <x:v>PSE PS10</x:v>
      </x:c>
      <x:c r="D31" s="26" t="str">
        <x:v>material-rack</x:v>
      </x:c>
      <x:c r="E31" s="26" t="str">
        <x:v>Slab Rack</x:v>
      </x:c>
      <x:c r="F31" s="27" t="n">
        <x:v>3400</x:v>
      </x:c>
      <x:c r="G31" s="26" t="str"/>
      <x:c r="H31" s="26" t="str"/>
      <x:c r="I31" s="27"/>
      <x:c r="J31" s="28"/>
      <x:c r="K31" s="26" t="str"/>
      <x:c r="L31" s="26" t="str">
        <x:v>PSE-PS10</x:v>
      </x:c>
      <x:c r="M31" s="26" t="str">
        <x:f>IF(G31="","Create as draft",IF(AND(H31&lt;&gt;C31,NOT(AND(C31="420-1",H31="PSE 420-1")),ABS(I31-F31)&gt;0.005),"Existing - title and price correction",IF(AND(H31&lt;&gt;C31,NOT(AND(C31="420-1",H31="PSE 420-1"))),"Existing - title correction",IF(ABS(I31-F31)&gt;0.005,"Existing - price correction","Existing - verified"))))</x:f>
        <x:v>Create as draft</x:v>
      </x:c>
      <x:c r="N31" s="29" t="str">
        <x:f>IF(I31="","",I31-F31)</x:f>
      </x:c>
    </x:row>
    <x:row r="32" ht="15" hidden="0" customHeight="1">
      <x:c r="A32" s="26" t="str">
        <x:v>one-side-frame-narrow-warehouse</x:v>
      </x:c>
      <x:c r="B32" s="26" t="str">
        <x:v>One Side Frame for Narrow Warehouse</x:v>
      </x:c>
      <x:c r="C32" s="26" t="str">
        <x:v>One Side Frame</x:v>
      </x:c>
      <x:c r="D32" s="26" t="str">
        <x:v>material-rack</x:v>
      </x:c>
      <x:c r="E32" s="26" t="str">
        <x:v>Single-Sided Rack</x:v>
      </x:c>
      <x:c r="F32" s="27" t="n">
        <x:v>925</x:v>
      </x:c>
      <x:c r="G32" s="26" t="str"/>
      <x:c r="H32" s="26" t="str"/>
      <x:c r="I32" s="27"/>
      <x:c r="J32" s="28"/>
      <x:c r="K32" s="26" t="str"/>
      <x:c r="L32" s="26" t="str">
        <x:v>PSE-ONE-SIDE-FRAME</x:v>
      </x:c>
      <x:c r="M32" s="26" t="str">
        <x:f>IF(G32="","Create as draft",IF(AND(H32&lt;&gt;C32,NOT(AND(C32="420-1",H32="PSE 420-1")),ABS(I32-F32)&gt;0.005),"Existing - title and price correction",IF(AND(H32&lt;&gt;C32,NOT(AND(C32="420-1",H32="PSE 420-1"))),"Existing - title correction",IF(ABS(I32-F32)&gt;0.005,"Existing - price correction","Existing - verified"))))</x:f>
        <x:v>Create as draft</x:v>
      </x:c>
      <x:c r="N32" s="29" t="str">
        <x:f>IF(I32="","",I32-F32)</x:f>
      </x:c>
    </x:row>
    <x:row r="33" ht="15" hidden="0" customHeight="1">
      <x:c r="A33" s="26" t="str">
        <x:v>heavy-duty-bundle-slab-rack-standard</x:v>
      </x:c>
      <x:c r="B33" s="26" t="str">
        <x:v>Heavy-Duty Bundle Slab Rack</x:v>
      </x:c>
      <x:c r="C33" s="26" t="str">
        <x:v>PSE PS10</x:v>
      </x:c>
      <x:c r="D33" s="26" t="str">
        <x:v>material-rack</x:v>
      </x:c>
      <x:c r="E33" s="26" t="str">
        <x:v>Slab Rack</x:v>
      </x:c>
      <x:c r="F33" s="27" t="n">
        <x:v>2850</x:v>
      </x:c>
      <x:c r="G33" s="26" t="str"/>
      <x:c r="H33" s="26" t="str"/>
      <x:c r="I33" s="27"/>
      <x:c r="J33" s="28"/>
      <x:c r="K33" s="26" t="str"/>
      <x:c r="L33" s="26" t="str">
        <x:v>PSE-PS10</x:v>
      </x:c>
      <x:c r="M33" s="26" t="str">
        <x:f>IF(G33="","Create as draft",IF(AND(H33&lt;&gt;C33,NOT(AND(C33="420-1",H33="PSE 420-1")),ABS(I33-F33)&gt;0.005),"Existing - title and price correction",IF(AND(H33&lt;&gt;C33,NOT(AND(C33="420-1",H33="PSE 420-1"))),"Existing - title correction",IF(ABS(I33-F33)&gt;0.005,"Existing - price correction","Existing - verified"))))</x:f>
        <x:v>Create as draft</x:v>
      </x:c>
      <x:c r="N33" s="29" t="str">
        <x:f>IF(I33="","",I33-F33)</x:f>
      </x:c>
    </x:row>
    <x:row r="34" ht="15" hidden="0" customHeight="1">
      <x:c r="A34" s="26" t="str">
        <x:v>heavy-duty-mobile-transport-frame</x:v>
      </x:c>
      <x:c r="B34" s="26" t="str">
        <x:v>Heavy Duty Mobile Transport Frame</x:v>
      </x:c>
      <x:c r="C34" s="26" t="str">
        <x:v>Heavy Duty Mobile Transport Frame</x:v>
      </x:c>
      <x:c r="D34" s="26" t="str">
        <x:v>industrial-table</x:v>
      </x:c>
      <x:c r="E34" s="26" t="str">
        <x:v>Mobile Transport Frame</x:v>
      </x:c>
      <x:c r="F34" s="27" t="n">
        <x:v>1025</x:v>
      </x:c>
      <x:c r="G34" s="26" t="str"/>
      <x:c r="H34" s="26" t="str"/>
      <x:c r="I34" s="27"/>
      <x:c r="J34" s="28"/>
      <x:c r="K34" s="26" t="str"/>
      <x:c r="L34" s="26" t="str">
        <x:v>PSE-HEAVY-DUTY-MOBILE-TRANSPORT-FRAME</x:v>
      </x:c>
      <x:c r="M34" s="26" t="str">
        <x:f>IF(G34="","Create as draft",IF(AND(H34&lt;&gt;C34,NOT(AND(C34="420-1",H34="PSE 420-1")),ABS(I34-F34)&gt;0.005),"Existing - title and price correction",IF(AND(H34&lt;&gt;C34,NOT(AND(C34="420-1",H34="PSE 420-1"))),"Existing - title correction",IF(ABS(I34-F34)&gt;0.005,"Existing - price correction","Existing - verified"))))</x:f>
        <x:v>Create as draft</x:v>
      </x:c>
      <x:c r="N34" s="29" t="str">
        <x:f>IF(I34="","",I34-F34)</x:f>
      </x:c>
    </x:row>
    <x:row r="35" ht="15" hidden="0" customHeight="1">
      <x:c r="A35" s="26" t="str">
        <x:v>three-tier-triple-stacker-table</x:v>
      </x:c>
      <x:c r="B35" s="26" t="str">
        <x:v>3-Tier Triple Stacker Table</x:v>
      </x:c>
      <x:c r="C35" s="26" t="str">
        <x:v>3-Tier Triple Stacker Table</x:v>
      </x:c>
      <x:c r="D35" s="26" t="str">
        <x:v>industrial-table</x:v>
      </x:c>
      <x:c r="E35" s="26" t="str">
        <x:v>Stacker Table</x:v>
      </x:c>
      <x:c r="F35" s="27" t="n">
        <x:v>810</x:v>
      </x:c>
      <x:c r="G35" s="26" t="str"/>
      <x:c r="H35" s="26" t="str"/>
      <x:c r="I35" s="27"/>
      <x:c r="J35" s="28"/>
      <x:c r="K35" s="26" t="str"/>
      <x:c r="L35" s="26" t="str">
        <x:v>PSE-3-TIER-TRIPLE-STACKER-TABLE</x:v>
      </x:c>
      <x:c r="M35" s="26" t="str">
        <x:f>IF(G35="","Create as draft",IF(AND(H35&lt;&gt;C35,NOT(AND(C35="420-1",H35="PSE 420-1")),ABS(I35-F35)&gt;0.005),"Existing - title and price correction",IF(AND(H35&lt;&gt;C35,NOT(AND(C35="420-1",H35="PSE 420-1"))),"Existing - title correction",IF(ABS(I35-F35)&gt;0.005,"Existing - price correction","Existing - verified"))))</x:f>
        <x:v>Create as draft</x:v>
      </x:c>
      <x:c r="N35" s="29" t="str">
        <x:f>IF(I35="","",I35-F35)</x:f>
      </x:c>
    </x:row>
    <x:row r="36" ht="15" hidden="0" customHeight="1">
      <x:c r="A36" s="26" t="str">
        <x:v>heavy-duty-industrial-platform-cart</x:v>
      </x:c>
      <x:c r="B36" s="26" t="str">
        <x:v>Heavy Duty Industrial Platform Cart</x:v>
      </x:c>
      <x:c r="C36" s="26" t="str">
        <x:v>Heavy Duty Industrial Platform Cart</x:v>
      </x:c>
      <x:c r="D36" s="26" t="str">
        <x:v>industrial-table</x:v>
      </x:c>
      <x:c r="E36" s="26" t="str">
        <x:v>Platform Cart</x:v>
      </x:c>
      <x:c r="F36" s="27" t="n">
        <x:v>675</x:v>
      </x:c>
      <x:c r="G36" s="26" t="str"/>
      <x:c r="H36" s="26" t="str"/>
      <x:c r="I36" s="27"/>
      <x:c r="J36" s="28"/>
      <x:c r="K36" s="26" t="str"/>
      <x:c r="L36" s="26" t="str">
        <x:v>PSE-HEAVY-DUTY-INDUSTRIAL-PLATFORM-CART</x:v>
      </x:c>
      <x:c r="M36" s="26" t="str">
        <x:f>IF(G36="","Create as draft",IF(AND(H36&lt;&gt;C36,NOT(AND(C36="420-1",H36="PSE 420-1")),ABS(I36-F36)&gt;0.005),"Existing - title and price correction",IF(AND(H36&lt;&gt;C36,NOT(AND(C36="420-1",H36="PSE 420-1"))),"Existing - title correction",IF(ABS(I36-F36)&gt;0.005,"Existing - price correction","Existing - verified"))))</x:f>
        <x:v>Create as draft</x:v>
      </x:c>
      <x:c r="N36" s="29" t="str">
        <x:f>IF(I36="","",I36-F36)</x:f>
      </x:c>
    </x:row>
    <x:row r="37" ht="15" hidden="0" customHeight="1">
      <x:c r="A37" s="26" t="str">
        <x:v>garment-production-utility-cart</x:v>
      </x:c>
      <x:c r="B37" s="26" t="str">
        <x:v>Garment Production Utility Cart</x:v>
      </x:c>
      <x:c r="C37" s="26" t="str">
        <x:v>Garment Production Utility Cart</x:v>
      </x:c>
      <x:c r="D37" s="26" t="str">
        <x:v>industrial-table</x:v>
      </x:c>
      <x:c r="E37" s="26" t="str">
        <x:v>Utility Cart</x:v>
      </x:c>
      <x:c r="F37" s="27" t="n">
        <x:v>790</x:v>
      </x:c>
      <x:c r="G37" s="26" t="str"/>
      <x:c r="H37" s="26" t="str"/>
      <x:c r="I37" s="27"/>
      <x:c r="J37" s="28"/>
      <x:c r="K37" s="26" t="str"/>
      <x:c r="L37" s="26" t="str">
        <x:v>PSE-GARMENT-PRODUCTION-UTILITY-CART</x:v>
      </x:c>
      <x:c r="M37" s="26" t="str">
        <x:f>IF(G37="","Create as draft",IF(AND(H37&lt;&gt;C37,NOT(AND(C37="420-1",H37="PSE 420-1")),ABS(I37-F37)&gt;0.005),"Existing - title and price correction",IF(AND(H37&lt;&gt;C37,NOT(AND(C37="420-1",H37="PSE 420-1"))),"Existing - title correction",IF(ABS(I37-F37)&gt;0.005,"Existing - price correction","Existing - verified"))))</x:f>
        <x:v>Create as draft</x:v>
      </x:c>
      <x:c r="N37" s="29" t="str">
        <x:f>IF(I37="","",I37-F37)</x:f>
      </x:c>
    </x:row>
    <x:row r="38" ht="15" hidden="0" customHeight="1">
      <x:c r="A38" s="26" t="str">
        <x:v>heavy-duty-six-wheel-work-table</x:v>
      </x:c>
      <x:c r="B38" s="26" t="str">
        <x:v>Heavy-Duty 6-Wheel Work Table</x:v>
      </x:c>
      <x:c r="C38" s="26" t="str">
        <x:v>Heavy-Duty 6-Wheel Work Table</x:v>
      </x:c>
      <x:c r="D38" s="26" t="str">
        <x:v>industrial-table</x:v>
      </x:c>
      <x:c r="E38" s="26" t="str">
        <x:v>Work Table</x:v>
      </x:c>
      <x:c r="F38" s="27" t="n">
        <x:v>1075</x:v>
      </x:c>
      <x:c r="G38" s="26" t="str"/>
      <x:c r="H38" s="26" t="str"/>
      <x:c r="I38" s="27"/>
      <x:c r="J38" s="28"/>
      <x:c r="K38" s="26" t="str"/>
      <x:c r="L38" s="26" t="str">
        <x:v>PSE-HEAVY-DUTY-6-WHEEL-WORK-TABLE</x:v>
      </x:c>
      <x:c r="M38" s="26" t="str">
        <x:f>IF(G38="","Create as draft",IF(AND(H38&lt;&gt;C38,NOT(AND(C38="420-1",H38="PSE 420-1")),ABS(I38-F38)&gt;0.005),"Existing - title and price correction",IF(AND(H38&lt;&gt;C38,NOT(AND(C38="420-1",H38="PSE 420-1"))),"Existing - title correction",IF(ABS(I38-F38)&gt;0.005,"Existing - price correction","Existing - verified"))))</x:f>
        <x:v>Create as draft</x:v>
      </x:c>
      <x:c r="N38" s="29" t="str">
        <x:f>IF(I38="","",I38-F38)</x:f>
      </x:c>
    </x:row>
    <x:row r="39" ht="15" hidden="0" customHeight="1">
      <x:c r="A39" s="26" t="str">
        <x:v>heavy-duty-steel-workbench</x:v>
      </x:c>
      <x:c r="B39" s="26" t="str">
        <x:v>Heavy-Duty Steel Workbench</x:v>
      </x:c>
      <x:c r="C39" s="26" t="str">
        <x:v>Heavy-Duty Steel Workbench</x:v>
      </x:c>
      <x:c r="D39" s="26" t="str">
        <x:v>industrial-table</x:v>
      </x:c>
      <x:c r="E39" s="26" t="str">
        <x:v>Workbench</x:v>
      </x:c>
      <x:c r="F39" s="27" t="n">
        <x:v>930</x:v>
      </x:c>
      <x:c r="G39" s="26" t="str"/>
      <x:c r="H39" s="26" t="str"/>
      <x:c r="I39" s="27"/>
      <x:c r="J39" s="28"/>
      <x:c r="K39" s="26" t="str"/>
      <x:c r="L39" s="26" t="str">
        <x:v>PSE-HEAVY-DUTY-STEEL-WORKBENCH</x:v>
      </x:c>
      <x:c r="M39" s="26" t="str">
        <x:f>IF(G39="","Create as draft",IF(AND(H39&lt;&gt;C39,NOT(AND(C39="420-1",H39="PSE 420-1")),ABS(I39-F39)&gt;0.005),"Existing - title and price correction",IF(AND(H39&lt;&gt;C39,NOT(AND(C39="420-1",H39="PSE 420-1"))),"Existing - title correction",IF(ABS(I39-F39)&gt;0.005,"Existing - price correction","Existing - verified"))))</x:f>
        <x:v>Create as draft</x:v>
      </x:c>
      <x:c r="N39" s="29" t="str">
        <x:f>IF(I39="","",I39-F39)</x:f>
      </x:c>
    </x:row>
    <x:row r="40" ht="15" hidden="0" customHeight="1">
      <x:c r="A40" s="26" t="str">
        <x:v>industrial-mobile-workbench</x:v>
      </x:c>
      <x:c r="B40" s="26" t="str">
        <x:v>Industrial Mobile Workbench</x:v>
      </x:c>
      <x:c r="C40" s="26" t="str">
        <x:v>Industrial Mobile Workbench</x:v>
      </x:c>
      <x:c r="D40" s="26" t="str">
        <x:v>industrial-table</x:v>
      </x:c>
      <x:c r="E40" s="26" t="str">
        <x:v>Workbench</x:v>
      </x:c>
      <x:c r="F40" s="27" t="n">
        <x:v>1350</x:v>
      </x:c>
      <x:c r="G40" s="26" t="str"/>
      <x:c r="H40" s="26" t="str"/>
      <x:c r="I40" s="27"/>
      <x:c r="J40" s="28"/>
      <x:c r="K40" s="26" t="str"/>
      <x:c r="L40" s="26" t="str">
        <x:v>PSE-INDUSTRIAL-MOBILE-WORKBENCH</x:v>
      </x:c>
      <x:c r="M40" s="26" t="str">
        <x:f>IF(G40="","Create as draft",IF(AND(H40&lt;&gt;C40,NOT(AND(C40="420-1",H40="PSE 420-1")),ABS(I40-F40)&gt;0.005),"Existing - title and price correction",IF(AND(H40&lt;&gt;C40,NOT(AND(C40="420-1",H40="PSE 420-1"))),"Existing - title correction",IF(ABS(I40-F40)&gt;0.005,"Existing - price correction","Existing - verified"))))</x:f>
        <x:v>Create as draft</x:v>
      </x:c>
      <x:c r="N40" s="29" t="str">
        <x:f>IF(I40="","",I40-F40)</x:f>
      </x:c>
    </x:row>
    <x:row r="41" ht="15" hidden="0" customHeight="1">
      <x:c r="A41" s="26" t="str">
        <x:v>three-tier-heavy-duty-mobile-assembly-workbench</x:v>
      </x:c>
      <x:c r="B41" s="26" t="str">
        <x:v>3-Tier Heavy-Duty Mobile Assembly Workbench</x:v>
      </x:c>
      <x:c r="C41" s="26" t="str">
        <x:v>3-Tier Mobile Assembly Workbench</x:v>
      </x:c>
      <x:c r="D41" s="26" t="str">
        <x:v>industrial-table</x:v>
      </x:c>
      <x:c r="E41" s="26" t="str">
        <x:v>Assembly Workbench</x:v>
      </x:c>
      <x:c r="F41" s="27" t="n">
        <x:v>1315</x:v>
      </x:c>
      <x:c r="G41" s="26" t="str"/>
      <x:c r="H41" s="26" t="str"/>
      <x:c r="I41" s="27"/>
      <x:c r="J41" s="28"/>
      <x:c r="K41" s="26" t="str"/>
      <x:c r="L41" s="26" t="str">
        <x:v>PSE-3-TIER-MOBILE-ASSEMBLY-WORKBENCH</x:v>
      </x:c>
      <x:c r="M41" s="26" t="str">
        <x:f>IF(G41="","Create as draft",IF(AND(H41&lt;&gt;C41,NOT(AND(C41="420-1",H41="PSE 420-1")),ABS(I41-F41)&gt;0.005),"Existing - title and price correction",IF(AND(H41&lt;&gt;C41,NOT(AND(C41="420-1",H41="PSE 420-1"))),"Existing - title correction",IF(ABS(I41-F41)&gt;0.005,"Existing - price correction","Existing - verified"))))</x:f>
        <x:v>Create as draft</x:v>
      </x:c>
      <x:c r="N41" s="29" t="str">
        <x:f>IF(I41="","",I41-F41)</x:f>
      </x:c>
    </x:row>
    <x:row r="42" ht="15" hidden="0" customHeight="1">
      <x:c r="A42" s="26" t="str">
        <x:v>large-heavy-duty-industrial-platform-cart</x:v>
      </x:c>
      <x:c r="B42" s="26" t="str">
        <x:v>Large Size Heavy Duty Industrial Platform Cart</x:v>
      </x:c>
      <x:c r="C42" s="26" t="str">
        <x:v>Large Industrial Platform Cart</x:v>
      </x:c>
      <x:c r="D42" s="26" t="str">
        <x:v>industrial-table</x:v>
      </x:c>
      <x:c r="E42" s="26" t="str">
        <x:v>Platform Cart</x:v>
      </x:c>
      <x:c r="F42" s="27" t="n">
        <x:v>1050</x:v>
      </x:c>
      <x:c r="G42" s="26" t="str"/>
      <x:c r="H42" s="26" t="str"/>
      <x:c r="I42" s="27"/>
      <x:c r="J42" s="28"/>
      <x:c r="K42" s="26" t="str"/>
      <x:c r="L42" s="26" t="str">
        <x:v>PSE-LARGE-INDUSTRIAL-PLATFORM-CART</x:v>
      </x:c>
      <x:c r="M42" s="26" t="str">
        <x:f>IF(G42="","Create as draft",IF(AND(H42&lt;&gt;C42,NOT(AND(C42="420-1",H42="PSE 420-1")),ABS(I42-F42)&gt;0.005),"Existing - title and price correction",IF(AND(H42&lt;&gt;C42,NOT(AND(C42="420-1",H42="PSE 420-1"))),"Existing - title correction",IF(ABS(I42-F42)&gt;0.005,"Existing - price correction","Existing - verified"))))</x:f>
        <x:v>Create as draft</x:v>
      </x:c>
      <x:c r="N42" s="29" t="str">
        <x:f>IF(I42="","",I42-F42)</x:f>
      </x:c>
    </x:row>
    <x:row r="43" ht="15" hidden="0" customHeight="1">
      <x:c r="A43" s="26" t="str">
        <x:v>mobile-glass-handling-table</x:v>
      </x:c>
      <x:c r="B43" s="26" t="str">
        <x:v>Mobile Glass Handling Table</x:v>
      </x:c>
      <x:c r="C43" s="26" t="str">
        <x:v>Mobile Glass Handling Table</x:v>
      </x:c>
      <x:c r="D43" s="26" t="str">
        <x:v>industrial-table</x:v>
      </x:c>
      <x:c r="E43" s="26" t="str">
        <x:v>Glass Handling Table</x:v>
      </x:c>
      <x:c r="F43" s="27" t="n">
        <x:v>990</x:v>
      </x:c>
      <x:c r="G43" s="26" t="str"/>
      <x:c r="H43" s="26" t="str"/>
      <x:c r="I43" s="27"/>
      <x:c r="J43" s="28"/>
      <x:c r="K43" s="26" t="str"/>
      <x:c r="L43" s="26" t="str">
        <x:v>PSE-MOBILE-GLASS-HANDLING-TABLE</x:v>
      </x:c>
      <x:c r="M43" s="26" t="str">
        <x:f>IF(G43="","Create as draft",IF(AND(H43&lt;&gt;C43,NOT(AND(C43="420-1",H43="PSE 420-1")),ABS(I43-F43)&gt;0.005),"Existing - title and price correction",IF(AND(H43&lt;&gt;C43,NOT(AND(C43="420-1",H43="PSE 420-1"))),"Existing - title correction",IF(ABS(I43-F43)&gt;0.005,"Existing - price correction","Existing - verified"))))</x:f>
        <x:v>Create as draft</x:v>
      </x:c>
      <x:c r="N43" s="29" t="str">
        <x:f>IF(I43="","",I43-F43)</x:f>
      </x:c>
    </x:row>
    <x:row r="44" ht="15" hidden="0" customHeight="1">
      <x:c r="A44" s="26" t="str">
        <x:v>heavy-duty-industrial-metal-top-platform-cart</x:v>
      </x:c>
      <x:c r="B44" s="26" t="str">
        <x:v>Heavy Duty Industrial Metal Top Platform Cart</x:v>
      </x:c>
      <x:c r="C44" s="26" t="str">
        <x:v>Metal Top Platform Cart</x:v>
      </x:c>
      <x:c r="D44" s="26" t="str">
        <x:v>industrial-table</x:v>
      </x:c>
      <x:c r="E44" s="26" t="str">
        <x:v>Platform Cart</x:v>
      </x:c>
      <x:c r="F44" s="27" t="n">
        <x:v>1025</x:v>
      </x:c>
      <x:c r="G44" s="26" t="str"/>
      <x:c r="H44" s="26" t="str"/>
      <x:c r="I44" s="27"/>
      <x:c r="J44" s="28"/>
      <x:c r="K44" s="26" t="str"/>
      <x:c r="L44" s="26" t="str">
        <x:v>PSE-METAL-TOP-PLATFORM-CART</x:v>
      </x:c>
      <x:c r="M44" s="26" t="str">
        <x:f>IF(G44="","Create as draft",IF(AND(H44&lt;&gt;C44,NOT(AND(C44="420-1",H44="PSE 420-1")),ABS(I44-F44)&gt;0.005),"Existing - title and price correction",IF(AND(H44&lt;&gt;C44,NOT(AND(C44="420-1",H44="PSE 420-1"))),"Existing - title correction",IF(ABS(I44-F44)&gt;0.005,"Existing - price correction","Existing - verified"))))</x:f>
        <x:v>Create as draft</x:v>
      </x:c>
      <x:c r="N44" s="29" t="str">
        <x:f>IF(I44="","",I44-F44)</x:f>
      </x:c>
    </x:row>
    <x:row r="45" ht="15" hidden="0" customHeight="1">
      <x:c r="A45" s="26" t="str">
        <x:v>mobile-electronics-workstation</x:v>
      </x:c>
      <x:c r="B45" s="26" t="str">
        <x:v>Mobile Electronics Workstation</x:v>
      </x:c>
      <x:c r="C45" s="26" t="str">
        <x:v>Mobile Electronics Workstation</x:v>
      </x:c>
      <x:c r="D45" s="26" t="str">
        <x:v>industrial-table</x:v>
      </x:c>
      <x:c r="E45" s="26" t="str">
        <x:v>Mobile Workstation</x:v>
      </x:c>
      <x:c r="F45" s="27" t="n">
        <x:v>990</x:v>
      </x:c>
      <x:c r="G45" s="26" t="str"/>
      <x:c r="H45" s="26" t="str"/>
      <x:c r="I45" s="27"/>
      <x:c r="J45" s="28"/>
      <x:c r="K45" s="26" t="str"/>
      <x:c r="L45" s="26" t="str">
        <x:v>PSE-MOBILE-ELECTRONICS-WORKSTATION</x:v>
      </x:c>
      <x:c r="M45" s="26" t="str">
        <x:f>IF(G45="","Create as draft",IF(AND(H45&lt;&gt;C45,NOT(AND(C45="420-1",H45="PSE 420-1")),ABS(I45-F45)&gt;0.005),"Existing - title and price correction",IF(AND(H45&lt;&gt;C45,NOT(AND(C45="420-1",H45="PSE 420-1"))),"Existing - title correction",IF(ABS(I45-F45)&gt;0.005,"Existing - price correction","Existing - verified"))))</x:f>
        <x:v>Create as draft</x:v>
      </x:c>
      <x:c r="N45" s="29" t="str">
        <x:f>IF(I45="","",I45-F45)</x:f>
      </x:c>
    </x:row>
    <x:row r="46" ht="15" hidden="0" customHeight="1">
      <x:c r="A46" s="26" t="str">
        <x:v>heavy-duty-two-tier-service-cart-stainless-steel</x:v>
      </x:c>
      <x:c r="B46" s="26" t="str">
        <x:v>Heavy-Duty 2-Tier Service Cart</x:v>
      </x:c>
      <x:c r="C46" s="26" t="str">
        <x:v>Stainless Steel 2-Tier Service Cart</x:v>
      </x:c>
      <x:c r="D46" s="26" t="str">
        <x:v>industrial-table</x:v>
      </x:c>
      <x:c r="E46" s="26" t="str">
        <x:v>Stainless Steel Cart</x:v>
      </x:c>
      <x:c r="F46" s="27" t="n">
        <x:v>980</x:v>
      </x:c>
      <x:c r="G46" s="26" t="str"/>
      <x:c r="H46" s="26" t="str"/>
      <x:c r="I46" s="27"/>
      <x:c r="J46" s="28"/>
      <x:c r="K46" s="26" t="str"/>
      <x:c r="L46" s="26" t="str">
        <x:v>PSE-STAINLESS-STEEL-2-TIER-SERVICE-CART</x:v>
      </x:c>
      <x:c r="M46" s="26" t="str">
        <x:f>IF(G46="","Create as draft",IF(AND(H46&lt;&gt;C46,NOT(AND(C46="420-1",H46="PSE 420-1")),ABS(I46-F46)&gt;0.005),"Existing - title and price correction",IF(AND(H46&lt;&gt;C46,NOT(AND(C46="420-1",H46="PSE 420-1"))),"Existing - title correction",IF(ABS(I46-F46)&gt;0.005,"Existing - price correction","Existing - verified"))))</x:f>
        <x:v>Create as draft</x:v>
      </x:c>
      <x:c r="N46" s="29" t="str">
        <x:f>IF(I46="","",I46-F46)</x:f>
      </x:c>
    </x:row>
    <x:row r="47" ht="15" hidden="0" customHeight="1">
      <x:c r="A47" s="26" t="str">
        <x:v>butchers-meat-cutting-table-stainless-steel</x:v>
      </x:c>
      <x:c r="B47" s="26" t="str">
        <x:v>Butcher's Meat Cutting Table</x:v>
      </x:c>
      <x:c r="C47" s="26" t="str">
        <x:v>Stainless Steel Meat Cutting Table</x:v>
      </x:c>
      <x:c r="D47" s="26" t="str">
        <x:v>industrial-table</x:v>
      </x:c>
      <x:c r="E47" s="26" t="str">
        <x:v>Stainless Steel Table</x:v>
      </x:c>
      <x:c r="F47" s="27" t="n">
        <x:v>1480</x:v>
      </x:c>
      <x:c r="G47" s="26" t="str"/>
      <x:c r="H47" s="26" t="str"/>
      <x:c r="I47" s="27"/>
      <x:c r="J47" s="28"/>
      <x:c r="K47" s="26" t="str"/>
      <x:c r="L47" s="26" t="str">
        <x:v>PSE-STAINLESS-STEEL-MEAT-CUTTING-TABLE</x:v>
      </x:c>
      <x:c r="M47" s="26" t="str">
        <x:f>IF(G47="","Create as draft",IF(AND(H47&lt;&gt;C47,NOT(AND(C47="420-1",H47="PSE 420-1")),ABS(I47-F47)&gt;0.005),"Existing - title and price correction",IF(AND(H47&lt;&gt;C47,NOT(AND(C47="420-1",H47="PSE 420-1"))),"Existing - title correction",IF(ABS(I47-F47)&gt;0.005,"Existing - price correction","Existing - verified"))))</x:f>
        <x:v>Create as draft</x:v>
      </x:c>
      <x:c r="N47" s="29" t="str">
        <x:f>IF(I47="","",I47-F47)</x:f>
      </x:c>
    </x:row>
    <x:row r="48" ht="15" hidden="0" customHeight="1">
      <x:c r="A48" s="26" t="str">
        <x:v>heavy-duty-16-ga-cutting-table</x:v>
      </x:c>
      <x:c r="B48" s="26" t="str">
        <x:v>Heavy Duty 16 Ga. Cutting Table</x:v>
      </x:c>
      <x:c r="C48" s="26" t="str">
        <x:v>16 Ga. Cutting Table</x:v>
      </x:c>
      <x:c r="D48" s="26" t="str">
        <x:v>industrial-table</x:v>
      </x:c>
      <x:c r="E48" s="26" t="str">
        <x:v>Stainless Steel Table</x:v>
      </x:c>
      <x:c r="F48" s="27" t="n">
        <x:v>2050</x:v>
      </x:c>
      <x:c r="G48" s="26" t="str"/>
      <x:c r="H48" s="26" t="str"/>
      <x:c r="I48" s="27"/>
      <x:c r="J48" s="28"/>
      <x:c r="K48" s="26" t="str"/>
      <x:c r="L48" s="26" t="str">
        <x:v>PSE-16-GA-CUTTING-TABLE</x:v>
      </x:c>
      <x:c r="M48" s="26" t="str">
        <x:f>IF(G48="","Create as draft",IF(AND(H48&lt;&gt;C48,NOT(AND(C48="420-1",H48="PSE 420-1")),ABS(I48-F48)&gt;0.005),"Existing - title and price correction",IF(AND(H48&lt;&gt;C48,NOT(AND(C48="420-1",H48="PSE 420-1"))),"Existing - title correction",IF(ABS(I48-F48)&gt;0.005,"Existing - price correction","Existing - verified"))))</x:f>
        <x:v>Create as draft</x:v>
      </x:c>
      <x:c r="N48" s="29" t="str">
        <x:f>IF(I48="","",I48-F48)</x:f>
      </x:c>
    </x:row>
    <x:row r="49" ht="15" hidden="0" customHeight="1">
      <x:c r="A49" s="26" t="str">
        <x:v>commercial-pizza-prep-table</x:v>
      </x:c>
      <x:c r="B49" s="26" t="str">
        <x:v>Commercial Pizza Prep Table</x:v>
      </x:c>
      <x:c r="C49" s="26" t="str">
        <x:v>Commercial Pizza Prep Table</x:v>
      </x:c>
      <x:c r="D49" s="26" t="str">
        <x:v>industrial-table</x:v>
      </x:c>
      <x:c r="E49" s="26" t="str">
        <x:v>Stainless Steel Table</x:v>
      </x:c>
      <x:c r="F49" s="27" t="n">
        <x:v>2250</x:v>
      </x:c>
      <x:c r="G49" s="26" t="str"/>
      <x:c r="H49" s="26" t="str"/>
      <x:c r="I49" s="27"/>
      <x:c r="J49" s="28"/>
      <x:c r="K49" s="26" t="str"/>
      <x:c r="L49" s="26" t="str">
        <x:v>PSE-COMMERCIAL-PIZZA-PREP-TABLE</x:v>
      </x:c>
      <x:c r="M49" s="26" t="str">
        <x:f>IF(G49="","Create as draft",IF(AND(H49&lt;&gt;C49,NOT(AND(C49="420-1",H49="PSE 420-1")),ABS(I49-F49)&gt;0.005),"Existing - title and price correction",IF(AND(H49&lt;&gt;C49,NOT(AND(C49="420-1",H49="PSE 420-1"))),"Existing - title correction",IF(ABS(I49-F49)&gt;0.005,"Existing - price correction","Existing - verified"))))</x:f>
        <x:v>Create as draft</x:v>
      </x:c>
      <x:c r="N49" s="29" t="str">
        <x:f>IF(I49="","",I49-F49)</x:f>
      </x:c>
    </x:row>
    <x:row r="50" ht="15" hidden="0" customHeight="1">
      <x:c r="A50" s="26" t="str">
        <x:v>heavy-duty-bollard-bolt-down-4-dia-36</x:v>
      </x:c>
      <x:c r="B50" s="26" t="str">
        <x:v>Heavy Duty Bolt-Down Bollard - 4 in x 36 in</x:v>
      </x:c>
      <x:c r="C50" s="26" t="str">
        <x:v>4 in dia x 36 in H</x:v>
      </x:c>
      <x:c r="D50" s="26" t="str">
        <x:v>warehouse-safety</x:v>
      </x:c>
      <x:c r="E50" s="26" t="str">
        <x:v>Bollards</x:v>
      </x:c>
      <x:c r="F50" s="27" t="n">
        <x:v>145</x:v>
      </x:c>
      <x:c r="G50" s="26" t="str"/>
      <x:c r="H50" s="26" t="str"/>
      <x:c r="I50" s="27"/>
      <x:c r="J50" s="28"/>
      <x:c r="K50" s="26" t="str"/>
      <x:c r="L50" s="26" t="str">
        <x:v>PSE-4-IN-DIA-X-36-IN-H</x:v>
      </x:c>
      <x:c r="M50" s="26" t="str">
        <x:f>IF(G50="","Create as draft",IF(AND(H50&lt;&gt;C50,NOT(AND(C50="420-1",H50="PSE 420-1")),ABS(I50-F50)&gt;0.005),"Existing - title and price correction",IF(AND(H50&lt;&gt;C50,NOT(AND(C50="420-1",H50="PSE 420-1"))),"Existing - title correction",IF(ABS(I50-F50)&gt;0.005,"Existing - price correction","Existing - verified"))))</x:f>
        <x:v>Create as draft</x:v>
      </x:c>
      <x:c r="N50" s="29" t="str">
        <x:f>IF(I50="","",I50-F50)</x:f>
      </x:c>
    </x:row>
    <x:row r="51" ht="15" hidden="0" customHeight="1">
      <x:c r="A51" s="26" t="str">
        <x:v>heavy-duty-bollard-bolt-down-4-dia-42</x:v>
      </x:c>
      <x:c r="B51" s="26" t="str">
        <x:v>Heavy Duty Bolt-Down Bollard - 4 in x 42 in</x:v>
      </x:c>
      <x:c r="C51" s="26" t="str">
        <x:v>4 in dia x 42 in H</x:v>
      </x:c>
      <x:c r="D51" s="26" t="str">
        <x:v>warehouse-safety</x:v>
      </x:c>
      <x:c r="E51" s="26" t="str">
        <x:v>Bollards</x:v>
      </x:c>
      <x:c r="F51" s="27" t="n">
        <x:v>160</x:v>
      </x:c>
      <x:c r="G51" s="26" t="str"/>
      <x:c r="H51" s="26" t="str"/>
      <x:c r="I51" s="27"/>
      <x:c r="J51" s="28"/>
      <x:c r="K51" s="26" t="str"/>
      <x:c r="L51" s="26" t="str">
        <x:v>PSE-4-IN-DIA-X-42-IN-H</x:v>
      </x:c>
      <x:c r="M51" s="26" t="str">
        <x:f>IF(G51="","Create as draft",IF(AND(H51&lt;&gt;C51,NOT(AND(C51="420-1",H51="PSE 420-1")),ABS(I51-F51)&gt;0.005),"Existing - title and price correction",IF(AND(H51&lt;&gt;C51,NOT(AND(C51="420-1",H51="PSE 420-1"))),"Existing - title correction",IF(ABS(I51-F51)&gt;0.005,"Existing - price correction","Existing - verified"))))</x:f>
        <x:v>Create as draft</x:v>
      </x:c>
      <x:c r="N51" s="29" t="str">
        <x:f>IF(I51="","",I51-F51)</x:f>
      </x:c>
    </x:row>
    <x:row r="52" ht="15" hidden="0" customHeight="1">
      <x:c r="A52" s="26" t="str">
        <x:v>heavy-duty-bollard-bolt-down-4-dia-48</x:v>
      </x:c>
      <x:c r="B52" s="26" t="str">
        <x:v>Heavy Duty Bolt-Down Bollard - 4 in x 48 in</x:v>
      </x:c>
      <x:c r="C52" s="26" t="str">
        <x:v>4 in dia x 48 in H</x:v>
      </x:c>
      <x:c r="D52" s="26" t="str">
        <x:v>warehouse-safety</x:v>
      </x:c>
      <x:c r="E52" s="26" t="str">
        <x:v>Bollards</x:v>
      </x:c>
      <x:c r="F52" s="27" t="n">
        <x:v>175</x:v>
      </x:c>
      <x:c r="G52" s="26" t="str"/>
      <x:c r="H52" s="26" t="str"/>
      <x:c r="I52" s="27"/>
      <x:c r="J52" s="28"/>
      <x:c r="K52" s="26" t="str"/>
      <x:c r="L52" s="26" t="str">
        <x:v>PSE-4-IN-DIA-X-48-IN-H</x:v>
      </x:c>
      <x:c r="M52" s="26" t="str">
        <x:f>IF(G52="","Create as draft",IF(AND(H52&lt;&gt;C52,NOT(AND(C52="420-1",H52="PSE 420-1")),ABS(I52-F52)&gt;0.005),"Existing - title and price correction",IF(AND(H52&lt;&gt;C52,NOT(AND(C52="420-1",H52="PSE 420-1"))),"Existing - title correction",IF(ABS(I52-F52)&gt;0.005,"Existing - price correction","Existing - verified"))))</x:f>
        <x:v>Create as draft</x:v>
      </x:c>
      <x:c r="N52" s="29" t="str">
        <x:f>IF(I52="","",I52-F52)</x:f>
      </x:c>
    </x:row>
    <x:row r="53" ht="15" hidden="0" customHeight="1">
      <x:c r="A53" s="26" t="str">
        <x:v>heavy-duty-bollard-bolt-down-4-dia-60</x:v>
      </x:c>
      <x:c r="B53" s="26" t="str">
        <x:v>Heavy Duty Bolt-Down Bollard - 4 in x 60 in</x:v>
      </x:c>
      <x:c r="C53" s="26" t="str">
        <x:v>4 in dia x 60 in H</x:v>
      </x:c>
      <x:c r="D53" s="26" t="str">
        <x:v>warehouse-safety</x:v>
      </x:c>
      <x:c r="E53" s="26" t="str">
        <x:v>Bollards</x:v>
      </x:c>
      <x:c r="F53" s="27" t="n">
        <x:v>180</x:v>
      </x:c>
      <x:c r="G53" s="26" t="str"/>
      <x:c r="H53" s="26" t="str"/>
      <x:c r="I53" s="27"/>
      <x:c r="J53" s="28"/>
      <x:c r="K53" s="26" t="str"/>
      <x:c r="L53" s="26" t="str">
        <x:v>PSE-4-IN-DIA-X-60-IN-H</x:v>
      </x:c>
      <x:c r="M53" s="26" t="str">
        <x:f>IF(G53="","Create as draft",IF(AND(H53&lt;&gt;C53,NOT(AND(C53="420-1",H53="PSE 420-1")),ABS(I53-F53)&gt;0.005),"Existing - title and price correction",IF(AND(H53&lt;&gt;C53,NOT(AND(C53="420-1",H53="PSE 420-1"))),"Existing - title correction",IF(ABS(I53-F53)&gt;0.005,"Existing - price correction","Existing - verified"))))</x:f>
        <x:v>Create as draft</x:v>
      </x:c>
      <x:c r="N53" s="29" t="str">
        <x:f>IF(I53="","",I53-F53)</x:f>
      </x:c>
    </x:row>
    <x:row r="54" ht="15" hidden="0" customHeight="1">
      <x:c r="A54" s="26" t="str">
        <x:v>overhead-door-track-protector-48-in-ht</x:v>
      </x:c>
      <x:c r="B54" s="26" t="str">
        <x:v>Overhead Door Track Protector - 48 in HT</x:v>
      </x:c>
      <x:c r="C54" s="26" t="str">
        <x:v>48 in HT / 9.86 x 6.58 in plate</x:v>
      </x:c>
      <x:c r="D54" s="26" t="str">
        <x:v>warehouse-safety</x:v>
      </x:c>
      <x:c r="E54" s="26" t="str">
        <x:v>Door Protection</x:v>
      </x:c>
      <x:c r="F54" s="27" t="n">
        <x:v>140</x:v>
      </x:c>
      <x:c r="G54" s="26" t="str"/>
      <x:c r="H54" s="26" t="str"/>
      <x:c r="I54" s="27"/>
      <x:c r="J54" s="28"/>
      <x:c r="K54" s="26" t="str"/>
      <x:c r="L54" s="26" t="str">
        <x:v>PSE-48-IN-HT-9-86-X-6-58-IN-PLATE</x:v>
      </x:c>
      <x:c r="M54" s="26" t="str">
        <x:f>IF(G54="","Create as draft",IF(AND(H54&lt;&gt;C54,NOT(AND(C54="420-1",H54="PSE 420-1")),ABS(I54-F54)&gt;0.005),"Existing - title and price correction",IF(AND(H54&lt;&gt;C54,NOT(AND(C54="420-1",H54="PSE 420-1"))),"Existing - title correction",IF(ABS(I54-F54)&gt;0.005,"Existing - price correction","Existing - verified"))))</x:f>
        <x:v>Create as draft</x:v>
      </x:c>
      <x:c r="N54" s="29" t="str">
        <x:f>IF(I54="","",I54-F54)</x:f>
      </x:c>
    </x:row>
    <x:row r="55" ht="15" hidden="0" customHeight="1">
      <x:c r="A55" s="26" t="str">
        <x:v>overhead-door-track-protector-36-in-ht</x:v>
      </x:c>
      <x:c r="B55" s="26" t="str">
        <x:v>Overhead Door Track Protector - 36 in HT</x:v>
      </x:c>
      <x:c r="C55" s="26" t="str">
        <x:v>36 in HT / 9.86 x 6.58 in plate</x:v>
      </x:c>
      <x:c r="D55" s="26" t="str">
        <x:v>warehouse-safety</x:v>
      </x:c>
      <x:c r="E55" s="26" t="str">
        <x:v>Door Protection</x:v>
      </x:c>
      <x:c r="F55" s="27" t="n">
        <x:v>120</x:v>
      </x:c>
      <x:c r="G55" s="26" t="str"/>
      <x:c r="H55" s="26" t="str"/>
      <x:c r="I55" s="27"/>
      <x:c r="J55" s="28"/>
      <x:c r="K55" s="26" t="str"/>
      <x:c r="L55" s="26" t="str">
        <x:v>PSE-36-IN-HT-9-86-X-6-58-IN-PLATE</x:v>
      </x:c>
      <x:c r="M55" s="26" t="str">
        <x:f>IF(G55="","Create as draft",IF(AND(H55&lt;&gt;C55,NOT(AND(C55="420-1",H55="PSE 420-1")),ABS(I55-F55)&gt;0.005),"Existing - title and price correction",IF(AND(H55&lt;&gt;C55,NOT(AND(C55="420-1",H55="PSE 420-1"))),"Existing - title correction",IF(ABS(I55-F55)&gt;0.005,"Existing - price correction","Existing - verified"))))</x:f>
        <x:v>Create as draft</x:v>
      </x:c>
      <x:c r="N55" s="29" t="str">
        <x:f>IF(I55="","",I55-F55)</x:f>
      </x:c>
    </x:row>
    <x:row r="56" ht="15" hidden="0" customHeight="1">
      <x:c r="A56" s="26" t="str">
        <x:v>heavy-duty-mid-rail-machine-guard-24x18</x:v>
      </x:c>
      <x:c r="B56" s="26" t="str">
        <x:v>Heavy Duty Mid-Rail Machine Guard - 24 x 18 in</x:v>
      </x:c>
      <x:c r="C56" s="26" t="str">
        <x:v>24 x 18 in</x:v>
      </x:c>
      <x:c r="D56" s="26" t="str">
        <x:v>warehouse-safety</x:v>
      </x:c>
      <x:c r="E56" s="26" t="str">
        <x:v>Machine Guards</x:v>
      </x:c>
      <x:c r="F56" s="27" t="n">
        <x:v>370</x:v>
      </x:c>
      <x:c r="G56" s="26" t="str"/>
      <x:c r="H56" s="26" t="str"/>
      <x:c r="I56" s="27"/>
      <x:c r="J56" s="28"/>
      <x:c r="K56" s="26" t="str"/>
      <x:c r="L56" s="26" t="str">
        <x:v>PSE-24-X-18-IN</x:v>
      </x:c>
      <x:c r="M56" s="26" t="str">
        <x:f>IF(G56="","Create as draft",IF(AND(H56&lt;&gt;C56,NOT(AND(C56="420-1",H56="PSE 420-1")),ABS(I56-F56)&gt;0.005),"Existing - title and price correction",IF(AND(H56&lt;&gt;C56,NOT(AND(C56="420-1",H56="PSE 420-1"))),"Existing - title correction",IF(ABS(I56-F56)&gt;0.005,"Existing - price correction","Existing - verified"))))</x:f>
        <x:v>Create as draft</x:v>
      </x:c>
      <x:c r="N56" s="29" t="str">
        <x:f>IF(I56="","",I56-F56)</x:f>
      </x:c>
    </x:row>
    <x:row r="57" ht="15" hidden="0" customHeight="1">
      <x:c r="A57" s="26" t="str">
        <x:v>heavy-duty-mid-rail-machine-guard-26x18</x:v>
      </x:c>
      <x:c r="B57" s="26" t="str">
        <x:v>Heavy Duty Mid-Rail Machine Guard - 26 x 18 in</x:v>
      </x:c>
      <x:c r="C57" s="26" t="str">
        <x:v>26 x 18 in</x:v>
      </x:c>
      <x:c r="D57" s="26" t="str">
        <x:v>warehouse-safety</x:v>
      </x:c>
      <x:c r="E57" s="26" t="str">
        <x:v>Machine Guards</x:v>
      </x:c>
      <x:c r="F57" s="27" t="n">
        <x:v>450</x:v>
      </x:c>
      <x:c r="G57" s="26" t="str"/>
      <x:c r="H57" s="26" t="str"/>
      <x:c r="I57" s="27"/>
      <x:c r="J57" s="28"/>
      <x:c r="K57" s="26" t="str"/>
      <x:c r="L57" s="26" t="str">
        <x:v>PSE-26-X-18-IN</x:v>
      </x:c>
      <x:c r="M57" s="26" t="str">
        <x:f>IF(G57="","Create as draft",IF(AND(H57&lt;&gt;C57,NOT(AND(C57="420-1",H57="PSE 420-1")),ABS(I57-F57)&gt;0.005),"Existing - title and price correction",IF(AND(H57&lt;&gt;C57,NOT(AND(C57="420-1",H57="PSE 420-1"))),"Existing - title correction",IF(ABS(I57-F57)&gt;0.005,"Existing - price correction","Existing - verified"))))</x:f>
        <x:v>Create as draft</x:v>
      </x:c>
      <x:c r="N57" s="29" t="str">
        <x:f>IF(I57="","",I57-F57)</x:f>
      </x:c>
    </x:row>
    <x:row r="58" ht="15" hidden="0" customHeight="1">
      <x:c r="A58" s="26" t="str">
        <x:v>heavy-duty-mid-rail-machine-guard-24x42</x:v>
      </x:c>
      <x:c r="B58" s="26" t="str">
        <x:v>Heavy Duty Mid-Rail Machine Guard - 24 x 42 in</x:v>
      </x:c>
      <x:c r="C58" s="26" t="str">
        <x:v>24 x 42 in</x:v>
      </x:c>
      <x:c r="D58" s="26" t="str">
        <x:v>warehouse-safety</x:v>
      </x:c>
      <x:c r="E58" s="26" t="str">
        <x:v>Machine Guards</x:v>
      </x:c>
      <x:c r="F58" s="27" t="n">
        <x:v>500</x:v>
      </x:c>
      <x:c r="G58" s="26" t="str"/>
      <x:c r="H58" s="26" t="str"/>
      <x:c r="I58" s="27"/>
      <x:c r="J58" s="28"/>
      <x:c r="K58" s="26" t="str"/>
      <x:c r="L58" s="26" t="str">
        <x:v>PSE-24-X-42-IN</x:v>
      </x:c>
      <x:c r="M58" s="26" t="str">
        <x:f>IF(G58="","Create as draft",IF(AND(H58&lt;&gt;C58,NOT(AND(C58="420-1",H58="PSE 420-1")),ABS(I58-F58)&gt;0.005),"Existing - title and price correction",IF(AND(H58&lt;&gt;C58,NOT(AND(C58="420-1",H58="PSE 420-1"))),"Existing - title correction",IF(ABS(I58-F58)&gt;0.005,"Existing - price correction","Existing - verified"))))</x:f>
        <x:v>Create as draft</x:v>
      </x:c>
      <x:c r="N58" s="29" t="str">
        <x:f>IF(I58="","",I58-F58)</x:f>
      </x:c>
    </x:row>
    <x:row r="59" ht="15" hidden="0" customHeight="1">
      <x:c r="A59" s="26" t="str">
        <x:v>rack-protector-7x12-3ga</x:v>
      </x:c>
      <x:c r="B59" s="26" t="str">
        <x:v>Rack Protector - 7 x 12 in, 3 Ga.</x:v>
      </x:c>
      <x:c r="C59" s="26" t="str">
        <x:v>Fits 7 in post / 12 in H</x:v>
      </x:c>
      <x:c r="D59" s="26" t="str">
        <x:v>warehouse-safety</x:v>
      </x:c>
      <x:c r="E59" s="26" t="str">
        <x:v>Rack Protection</x:v>
      </x:c>
      <x:c r="F59" s="27" t="n">
        <x:v>55</x:v>
      </x:c>
      <x:c r="G59" s="26" t="str"/>
      <x:c r="H59" s="26" t="str"/>
      <x:c r="I59" s="27"/>
      <x:c r="J59" s="28"/>
      <x:c r="K59" s="26" t="str"/>
      <x:c r="L59" s="26" t="str">
        <x:v>PSE-FITS-7-IN-POST-12-IN-H</x:v>
      </x:c>
      <x:c r="M59" s="26" t="str">
        <x:f>IF(G59="","Create as draft",IF(AND(H59&lt;&gt;C59,NOT(AND(C59="420-1",H59="PSE 420-1")),ABS(I59-F59)&gt;0.005),"Existing - title and price correction",IF(AND(H59&lt;&gt;C59,NOT(AND(C59="420-1",H59="PSE 420-1"))),"Existing - title correction",IF(ABS(I59-F59)&gt;0.005,"Existing - price correction","Existing - verified"))))</x:f>
        <x:v>Create as draft</x:v>
      </x:c>
      <x:c r="N59" s="29" t="str">
        <x:f>IF(I59="","",I59-F59)</x:f>
      </x:c>
    </x:row>
    <x:row r="60" ht="15" hidden="0" customHeight="1">
      <x:c r="A60" s="26" t="str">
        <x:v>rack-protector-7x18-3ga</x:v>
      </x:c>
      <x:c r="B60" s="26" t="str">
        <x:v>Rack Protector - 7 x 18 in, 3 Ga.</x:v>
      </x:c>
      <x:c r="C60" s="26" t="str">
        <x:v>Fits 7 in post / 18 in H</x:v>
      </x:c>
      <x:c r="D60" s="26" t="str">
        <x:v>warehouse-safety</x:v>
      </x:c>
      <x:c r="E60" s="26" t="str">
        <x:v>Rack Protection</x:v>
      </x:c>
      <x:c r="F60" s="27" t="n">
        <x:v>75</x:v>
      </x:c>
      <x:c r="G60" s="26" t="str"/>
      <x:c r="H60" s="26" t="str"/>
      <x:c r="I60" s="27"/>
      <x:c r="J60" s="28"/>
      <x:c r="K60" s="26" t="str"/>
      <x:c r="L60" s="26" t="str">
        <x:v>PSE-FITS-7-IN-POST-18-IN-H</x:v>
      </x:c>
      <x:c r="M60" s="26" t="str">
        <x:f>IF(G60="","Create as draft",IF(AND(H60&lt;&gt;C60,NOT(AND(C60="420-1",H60="PSE 420-1")),ABS(I60-F60)&gt;0.005),"Existing - title and price correction",IF(AND(H60&lt;&gt;C60,NOT(AND(C60="420-1",H60="PSE 420-1"))),"Existing - title correction",IF(ABS(I60-F60)&gt;0.005,"Existing - price correction","Existing - verified"))))</x:f>
        <x:v>Create as draft</x:v>
      </x:c>
      <x:c r="N60" s="29" t="str">
        <x:f>IF(I60="","",I60-F60)</x:f>
      </x:c>
    </x:row>
    <x:row r="61" ht="15" hidden="0" customHeight="1">
      <x:c r="A61" s="26" t="str">
        <x:v>rack-protector-7x24-3ga</x:v>
      </x:c>
      <x:c r="B61" s="26" t="str">
        <x:v>Rack Protector - 7 x 24 in, 3 Ga.</x:v>
      </x:c>
      <x:c r="C61" s="26" t="str">
        <x:v>Fits 7 in post / 24 in H</x:v>
      </x:c>
      <x:c r="D61" s="26" t="str">
        <x:v>warehouse-safety</x:v>
      </x:c>
      <x:c r="E61" s="26" t="str">
        <x:v>Rack Protection</x:v>
      </x:c>
      <x:c r="F61" s="27" t="n">
        <x:v>90</x:v>
      </x:c>
      <x:c r="G61" s="26" t="str"/>
      <x:c r="H61" s="26" t="str"/>
      <x:c r="I61" s="27"/>
      <x:c r="J61" s="28"/>
      <x:c r="K61" s="26" t="str"/>
      <x:c r="L61" s="26" t="str">
        <x:v>PSE-FITS-7-IN-POST-24-IN-H</x:v>
      </x:c>
      <x:c r="M61" s="26" t="str">
        <x:f>IF(G61="","Create as draft",IF(AND(H61&lt;&gt;C61,NOT(AND(C61="420-1",H61="PSE 420-1")),ABS(I61-F61)&gt;0.005),"Existing - title and price correction",IF(AND(H61&lt;&gt;C61,NOT(AND(C61="420-1",H61="PSE 420-1"))),"Existing - title correction",IF(ABS(I61-F61)&gt;0.005,"Existing - price correction","Existing - verified"))))</x:f>
        <x:v>Create as draft</x:v>
      </x:c>
      <x:c r="N61" s="29" t="str">
        <x:f>IF(I61="","",I61-F61)</x:f>
      </x:c>
    </x:row>
    <x:row r="62" ht="15" hidden="0" customHeight="1">
      <x:c r="A62" s="26" t="str">
        <x:v>rack-protector-5x12-3ga</x:v>
      </x:c>
      <x:c r="B62" s="26" t="str">
        <x:v>Rack Protector - 5 x 12 in, 3 Ga.</x:v>
      </x:c>
      <x:c r="C62" s="26" t="str">
        <x:v>Fits 5 in post / 12 in H</x:v>
      </x:c>
      <x:c r="D62" s="26" t="str">
        <x:v>warehouse-safety</x:v>
      </x:c>
      <x:c r="E62" s="26" t="str">
        <x:v>Rack Protection</x:v>
      </x:c>
      <x:c r="F62" s="27" t="n">
        <x:v>45</x:v>
      </x:c>
      <x:c r="G62" s="26" t="str"/>
      <x:c r="H62" s="26" t="str"/>
      <x:c r="I62" s="27"/>
      <x:c r="J62" s="28"/>
      <x:c r="K62" s="26" t="str"/>
      <x:c r="L62" s="26" t="str">
        <x:v>PSE-FITS-5-IN-POST-12-IN-H</x:v>
      </x:c>
      <x:c r="M62" s="26" t="str">
        <x:f>IF(G62="","Create as draft",IF(AND(H62&lt;&gt;C62,NOT(AND(C62="420-1",H62="PSE 420-1")),ABS(I62-F62)&gt;0.005),"Existing - title and price correction",IF(AND(H62&lt;&gt;C62,NOT(AND(C62="420-1",H62="PSE 420-1"))),"Existing - title correction",IF(ABS(I62-F62)&gt;0.005,"Existing - price correction","Existing - verified"))))</x:f>
        <x:v>Create as draft</x:v>
      </x:c>
      <x:c r="N62" s="29" t="str">
        <x:f>IF(I62="","",I62-F62)</x:f>
      </x:c>
    </x:row>
    <x:row r="63" ht="15" hidden="0" customHeight="1">
      <x:c r="A63" s="26" t="str">
        <x:v>rack-protector-5x18-3ga</x:v>
      </x:c>
      <x:c r="B63" s="26" t="str">
        <x:v>Rack Protector - 5 x 18 in, 3 Ga.</x:v>
      </x:c>
      <x:c r="C63" s="26" t="str">
        <x:v>Fits 5 in post / 18 in H</x:v>
      </x:c>
      <x:c r="D63" s="26" t="str">
        <x:v>warehouse-safety</x:v>
      </x:c>
      <x:c r="E63" s="26" t="str">
        <x:v>Rack Protection</x:v>
      </x:c>
      <x:c r="F63" s="27" t="n">
        <x:v>55</x:v>
      </x:c>
      <x:c r="G63" s="26" t="str"/>
      <x:c r="H63" s="26" t="str"/>
      <x:c r="I63" s="27"/>
      <x:c r="J63" s="28"/>
      <x:c r="K63" s="26" t="str"/>
      <x:c r="L63" s="26" t="str">
        <x:v>PSE-FITS-5-IN-POST-18-IN-H</x:v>
      </x:c>
      <x:c r="M63" s="26" t="str">
        <x:f>IF(G63="","Create as draft",IF(AND(H63&lt;&gt;C63,NOT(AND(C63="420-1",H63="PSE 420-1")),ABS(I63-F63)&gt;0.005),"Existing - title and price correction",IF(AND(H63&lt;&gt;C63,NOT(AND(C63="420-1",H63="PSE 420-1"))),"Existing - title correction",IF(ABS(I63-F63)&gt;0.005,"Existing - price correction","Existing - verified"))))</x:f>
        <x:v>Create as draft</x:v>
      </x:c>
      <x:c r="N63" s="29" t="str">
        <x:f>IF(I63="","",I63-F63)</x:f>
      </x:c>
    </x:row>
    <x:row r="64" ht="15" hidden="0" customHeight="1">
      <x:c r="A64" s="26" t="str">
        <x:v>rack-protector-5x24-3ga</x:v>
      </x:c>
      <x:c r="B64" s="26" t="str">
        <x:v>Rack Protector - 5 x 24 in, 3 Ga.</x:v>
      </x:c>
      <x:c r="C64" s="26" t="str">
        <x:v>Fits 5 in post / 24 in H</x:v>
      </x:c>
      <x:c r="D64" s="26" t="str">
        <x:v>warehouse-safety</x:v>
      </x:c>
      <x:c r="E64" s="26" t="str">
        <x:v>Rack Protection</x:v>
      </x:c>
      <x:c r="F64" s="27" t="n">
        <x:v>70</x:v>
      </x:c>
      <x:c r="G64" s="26" t="str"/>
      <x:c r="H64" s="26" t="str"/>
      <x:c r="I64" s="27"/>
      <x:c r="J64" s="28"/>
      <x:c r="K64" s="26" t="str"/>
      <x:c r="L64" s="26" t="str">
        <x:v>PSE-FITS-5-IN-POST-24-IN-H</x:v>
      </x:c>
      <x:c r="M64" s="26" t="str">
        <x:f>IF(G64="","Create as draft",IF(AND(H64&lt;&gt;C64,NOT(AND(C64="420-1",H64="PSE 420-1")),ABS(I64-F64)&gt;0.005),"Existing - title and price correction",IF(AND(H64&lt;&gt;C64,NOT(AND(C64="420-1",H64="PSE 420-1"))),"Existing - title correction",IF(ABS(I64-F64)&gt;0.005,"Existing - price correction","Existing - verified"))))</x:f>
        <x:v>Create as draft</x:v>
      </x:c>
      <x:c r="N64" s="29" t="str">
        <x:f>IF(I64="","",I64-F64)</x:f>
      </x:c>
    </x:row>
    <x:row r="65" ht="15" hidden="0" customHeight="1">
      <x:c r="A65" s="26" t="str">
        <x:v>pallet-rack-guard-end-46x3x5</x:v>
      </x:c>
      <x:c r="B65" s="26" t="str">
        <x:v>Pallet Rack Guard End - 46 x 3 x 5 in</x:v>
      </x:c>
      <x:c r="C65" s="26" t="str">
        <x:v>46 x 3 x 5 in</x:v>
      </x:c>
      <x:c r="D65" s="26" t="str">
        <x:v>warehouse-safety</x:v>
      </x:c>
      <x:c r="E65" s="26" t="str">
        <x:v>Rack Protection</x:v>
      </x:c>
      <x:c r="F65" s="27" t="n">
        <x:v>205</x:v>
      </x:c>
      <x:c r="G65" s="26" t="str"/>
      <x:c r="H65" s="26" t="str"/>
      <x:c r="I65" s="27"/>
      <x:c r="J65" s="28"/>
      <x:c r="K65" s="26" t="str"/>
      <x:c r="L65" s="26" t="str">
        <x:v>PSE-46-X-3-X-5-IN</x:v>
      </x:c>
      <x:c r="M65" s="26" t="str">
        <x:f>IF(G65="","Create as draft",IF(AND(H65&lt;&gt;C65,NOT(AND(C65="420-1",H65="PSE 420-1")),ABS(I65-F65)&gt;0.005),"Existing - title and price correction",IF(AND(H65&lt;&gt;C65,NOT(AND(C65="420-1",H65="PSE 420-1"))),"Existing - title correction",IF(ABS(I65-F65)&gt;0.005,"Existing - price correction","Existing - verified"))))</x:f>
        <x:v>Create as draft</x:v>
      </x:c>
      <x:c r="N65" s="29" t="str">
        <x:f>IF(I65="","",I65-F65)</x:f>
      </x:c>
    </x:row>
    <x:row r="66" ht="15" hidden="0" customHeight="1">
      <x:c r="A66" s="26" t="str">
        <x:v>upright-protector-7x7x18</x:v>
      </x:c>
      <x:c r="B66" s="26" t="str">
        <x:v>Upright Protector - 7 x 7 x 18 in</x:v>
      </x:c>
      <x:c r="C66" s="26" t="str">
        <x:v>7 W x 7 D x 18 H in</x:v>
      </x:c>
      <x:c r="D66" s="26" t="str">
        <x:v>warehouse-safety</x:v>
      </x:c>
      <x:c r="E66" s="26" t="str">
        <x:v>Rack Protection</x:v>
      </x:c>
      <x:c r="F66" s="27" t="n">
        <x:v>55</x:v>
      </x:c>
      <x:c r="G66" s="26" t="str"/>
      <x:c r="H66" s="26" t="str"/>
      <x:c r="I66" s="27"/>
      <x:c r="J66" s="28"/>
      <x:c r="K66" s="26" t="str"/>
      <x:c r="L66" s="26" t="str">
        <x:v>PSE-7-W-X-7-D-X-18-H-IN</x:v>
      </x:c>
      <x:c r="M66" s="26" t="str">
        <x:f>IF(G66="","Create as draft",IF(AND(H66&lt;&gt;C66,NOT(AND(C66="420-1",H66="PSE 420-1")),ABS(I66-F66)&gt;0.005),"Existing - title and price correction",IF(AND(H66&lt;&gt;C66,NOT(AND(C66="420-1",H66="PSE 420-1"))),"Existing - title correction",IF(ABS(I66-F66)&gt;0.005,"Existing - price correction","Existing - verified"))))</x:f>
        <x:v>Create as draft</x:v>
      </x:c>
      <x:c r="N66" s="29" t="str">
        <x:f>IF(I66="","",I66-F66)</x:f>
      </x:c>
    </x:row>
    <x:row r="67" ht="15" hidden="0" customHeight="1">
      <x:c r="A67" s="26" t="str">
        <x:v>upright-protector-7x7x12</x:v>
      </x:c>
      <x:c r="B67" s="26" t="str">
        <x:v>Upright Protector - 7 x 7 x 12 in</x:v>
      </x:c>
      <x:c r="C67" s="26" t="str">
        <x:v>7 W x 7 D x 12 H in</x:v>
      </x:c>
      <x:c r="D67" s="26" t="str">
        <x:v>warehouse-safety</x:v>
      </x:c>
      <x:c r="E67" s="26" t="str">
        <x:v>Rack Protection</x:v>
      </x:c>
      <x:c r="F67" s="27" t="n">
        <x:v>45</x:v>
      </x:c>
      <x:c r="G67" s="26" t="str"/>
      <x:c r="H67" s="26" t="str"/>
      <x:c r="I67" s="27"/>
      <x:c r="J67" s="28"/>
      <x:c r="K67" s="26" t="str"/>
      <x:c r="L67" s="26" t="str">
        <x:v>PSE-7-W-X-7-D-X-12-H-IN</x:v>
      </x:c>
      <x:c r="M67" s="26" t="str">
        <x:f>IF(G67="","Create as draft",IF(AND(H67&lt;&gt;C67,NOT(AND(C67="420-1",H67="PSE 420-1")),ABS(I67-F67)&gt;0.005),"Existing - title and price correction",IF(AND(H67&lt;&gt;C67,NOT(AND(C67="420-1",H67="PSE 420-1"))),"Existing - title correction",IF(ABS(I67-F67)&gt;0.005,"Existing - price correction","Existing - verified"))))</x:f>
        <x:v>Create as draft</x:v>
      </x:c>
      <x:c r="N67" s="29" t="str">
        <x:f>IF(I67="","",I67-F67)</x:f>
      </x:c>
    </x:row>
    <x:row r="68" ht="15" hidden="0" customHeight="1">
      <x:c r="A68" s="26" t="str">
        <x:v>floor-angle-guard-warehouse-24x5x3</x:v>
      </x:c>
      <x:c r="B68" s="26" t="str">
        <x:v>Floor Angle Guard - Warehouse 24 in</x:v>
      </x:c>
      <x:c r="C68" s="26" t="str">
        <x:v>24 L x 5 H x 3 W in</x:v>
      </x:c>
      <x:c r="D68" s="26" t="str">
        <x:v>warehouse-safety</x:v>
      </x:c>
      <x:c r="E68" s="26" t="str">
        <x:v>Floor Guards</x:v>
      </x:c>
      <x:c r="F68" s="27" t="n">
        <x:v>100</x:v>
      </x:c>
      <x:c r="G68" s="26" t="str"/>
      <x:c r="H68" s="26" t="str"/>
      <x:c r="I68" s="27"/>
      <x:c r="J68" s="28"/>
      <x:c r="K68" s="26" t="str"/>
      <x:c r="L68" s="26" t="str">
        <x:v>PSE-24-L-X-5-H-X-3-W-IN</x:v>
      </x:c>
      <x:c r="M68" s="26" t="str">
        <x:f>IF(G68="","Create as draft",IF(AND(H68&lt;&gt;C68,NOT(AND(C68="420-1",H68="PSE 420-1")),ABS(I68-F68)&gt;0.005),"Existing - title and price correction",IF(AND(H68&lt;&gt;C68,NOT(AND(C68="420-1",H68="PSE 420-1"))),"Existing - title correction",IF(ABS(I68-F68)&gt;0.005,"Existing - price correction","Existing - verified"))))</x:f>
        <x:v>Create as draft</x:v>
      </x:c>
      <x:c r="N68" s="29" t="str">
        <x:f>IF(I68="","",I68-F68)</x:f>
      </x:c>
    </x:row>
    <x:row r="69" ht="15" hidden="0" customHeight="1">
      <x:c r="A69" s="26" t="str">
        <x:v>floor-angle-guard-warehouse-48x5x3</x:v>
      </x:c>
      <x:c r="B69" s="26" t="str">
        <x:v>Floor Angle Guard - Warehouse 48 in</x:v>
      </x:c>
      <x:c r="C69" s="26" t="str">
        <x:v>48 L x 5 H x 3 W in</x:v>
      </x:c>
      <x:c r="D69" s="26" t="str">
        <x:v>warehouse-safety</x:v>
      </x:c>
      <x:c r="E69" s="26" t="str">
        <x:v>Floor Guards</x:v>
      </x:c>
      <x:c r="F69" s="27" t="n">
        <x:v>140</x:v>
      </x:c>
      <x:c r="G69" s="26" t="str"/>
      <x:c r="H69" s="26" t="str"/>
      <x:c r="I69" s="27"/>
      <x:c r="J69" s="28"/>
      <x:c r="K69" s="26" t="str"/>
      <x:c r="L69" s="26" t="str">
        <x:v>PSE-48-L-X-5-H-X-3-W-IN</x:v>
      </x:c>
      <x:c r="M69" s="26" t="str">
        <x:f>IF(G69="","Create as draft",IF(AND(H69&lt;&gt;C69,NOT(AND(C69="420-1",H69="PSE 420-1")),ABS(I69-F69)&gt;0.005),"Existing - title and price correction",IF(AND(H69&lt;&gt;C69,NOT(AND(C69="420-1",H69="PSE 420-1"))),"Existing - title correction",IF(ABS(I69-F69)&gt;0.005,"Existing - price correction","Existing - verified"))))</x:f>
        <x:v>Create as draft</x:v>
      </x:c>
      <x:c r="N69" s="29" t="str">
        <x:f>IF(I69="","",I69-F69)</x:f>
      </x:c>
    </x:row>
    <x:row r="70" ht="15" hidden="0" customHeight="1">
      <x:c r="A70" s="26" t="str">
        <x:v>floor-angle-guard-warehouse-60x5x3</x:v>
      </x:c>
      <x:c r="B70" s="26" t="str">
        <x:v>Floor Angle Guard - Warehouse 60 in</x:v>
      </x:c>
      <x:c r="C70" s="26" t="str">
        <x:v>60 L x 5 H x 3 W in</x:v>
      </x:c>
      <x:c r="D70" s="26" t="str">
        <x:v>warehouse-safety</x:v>
      </x:c>
      <x:c r="E70" s="26" t="str">
        <x:v>Floor Guards</x:v>
      </x:c>
      <x:c r="F70" s="27" t="n">
        <x:v>190</x:v>
      </x:c>
      <x:c r="G70" s="26" t="str"/>
      <x:c r="H70" s="26" t="str"/>
      <x:c r="I70" s="27"/>
      <x:c r="J70" s="28"/>
      <x:c r="K70" s="26" t="str"/>
      <x:c r="L70" s="26" t="str">
        <x:v>PSE-60-L-X-5-H-X-3-W-IN</x:v>
      </x:c>
      <x:c r="M70" s="26" t="str">
        <x:f>IF(G70="","Create as draft",IF(AND(H70&lt;&gt;C70,NOT(AND(C70="420-1",H70="PSE 420-1")),ABS(I70-F70)&gt;0.005),"Existing - title and price correction",IF(AND(H70&lt;&gt;C70,NOT(AND(C70="420-1",H70="PSE 420-1"))),"Existing - title correction",IF(ABS(I70-F70)&gt;0.005,"Existing - price correction","Existing - verified"))))</x:f>
        <x:v>Create as draft</x:v>
      </x:c>
      <x:c r="N70" s="29" t="str">
        <x:f>IF(I70="","",I70-F70)</x:f>
      </x:c>
    </x:row>
    <x:row r="71" ht="15" hidden="0" customHeight="1">
      <x:c r="A71" s="26" t="str">
        <x:v>floor-angle-guard-warehouse-96x5x3</x:v>
      </x:c>
      <x:c r="B71" s="26" t="str">
        <x:v>Floor Angle Guard - Warehouse 96 in</x:v>
      </x:c>
      <x:c r="C71" s="26" t="str">
        <x:v>96 L x 5 H x 3 W in</x:v>
      </x:c>
      <x:c r="D71" s="26" t="str">
        <x:v>warehouse-safety</x:v>
      </x:c>
      <x:c r="E71" s="26" t="str">
        <x:v>Floor Guards</x:v>
      </x:c>
      <x:c r="F71" s="27" t="n">
        <x:v>300</x:v>
      </x:c>
      <x:c r="G71" s="26" t="str"/>
      <x:c r="H71" s="26" t="str"/>
      <x:c r="I71" s="27"/>
      <x:c r="J71" s="28"/>
      <x:c r="K71" s="26" t="str"/>
      <x:c r="L71" s="26" t="str">
        <x:v>PSE-96-L-X-5-H-X-3-W-IN</x:v>
      </x:c>
      <x:c r="M71" s="26" t="str">
        <x:f>IF(G71="","Create as draft",IF(AND(H71&lt;&gt;C71,NOT(AND(C71="420-1",H71="PSE 420-1")),ABS(I71-F71)&gt;0.005),"Existing - title and price correction",IF(AND(H71&lt;&gt;C71,NOT(AND(C71="420-1",H71="PSE 420-1"))),"Existing - title correction",IF(ABS(I71-F71)&gt;0.005,"Existing - price correction","Existing - verified"))))</x:f>
        <x:v>Create as draft</x:v>
      </x:c>
      <x:c r="N71" s="29" t="str">
        <x:f>IF(I71="","",I71-F71)</x:f>
      </x:c>
    </x:row>
    <x:row r="72" ht="15" hidden="0" customHeight="1">
      <x:c r="A72" s="26" t="str">
        <x:v>floor-angle-guard-warehouse-120x5x3</x:v>
      </x:c>
      <x:c r="B72" s="26" t="str">
        <x:v>Floor Angle Guard - Warehouse 120 in</x:v>
      </x:c>
      <x:c r="C72" s="26" t="str">
        <x:v>120 L x 5 H x 3 W in</x:v>
      </x:c>
      <x:c r="D72" s="26" t="str">
        <x:v>warehouse-safety</x:v>
      </x:c>
      <x:c r="E72" s="26" t="str">
        <x:v>Floor Guards</x:v>
      </x:c>
      <x:c r="F72" s="27" t="n">
        <x:v>360</x:v>
      </x:c>
      <x:c r="G72" s="26" t="str"/>
      <x:c r="H72" s="26" t="str"/>
      <x:c r="I72" s="27"/>
      <x:c r="J72" s="28"/>
      <x:c r="K72" s="26" t="str"/>
      <x:c r="L72" s="26" t="str">
        <x:v>PSE-120-L-X-5-H-X-3-W-IN</x:v>
      </x:c>
      <x:c r="M72" s="26" t="str">
        <x:f>IF(G72="","Create as draft",IF(AND(H72&lt;&gt;C72,NOT(AND(C72="420-1",H72="PSE 420-1")),ABS(I72-F72)&gt;0.005),"Existing - title and price correction",IF(AND(H72&lt;&gt;C72,NOT(AND(C72="420-1",H72="PSE 420-1"))),"Existing - title correction",IF(ABS(I72-F72)&gt;0.005,"Existing - price correction","Existing - verified"))))</x:f>
        <x:v>Create as draft</x:v>
      </x:c>
      <x:c r="N72" s="29" t="str">
        <x:f>IF(I72="","",I72-F72)</x:f>
      </x:c>
    </x:row>
    <x:row r="73" ht="15" hidden="0" customHeight="1">
      <x:c r="A73" s="30" t="str">
        <x:v>anti-theft-parking-bollard-collapsible</x:v>
      </x:c>
      <x:c r="B73" s="30" t="str">
        <x:v>Anti-Theft Parking Bollard - Collapsible</x:v>
      </x:c>
      <x:c r="C73" s="30" t="str">
        <x:v>Collapsible parking bollard</x:v>
      </x:c>
      <x:c r="D73" s="30" t="str">
        <x:v>warehouse-safety</x:v>
      </x:c>
      <x:c r="E73" s="30" t="str">
        <x:v>Parking Bollards</x:v>
      </x:c>
      <x:c r="F73" s="31" t="n">
        <x:v>306</x:v>
      </x:c>
      <x:c r="G73" s="30" t="str"/>
      <x:c r="H73" s="30" t="str"/>
      <x:c r="I73" s="31"/>
      <x:c r="J73" s="32"/>
      <x:c r="K73" s="30" t="str"/>
      <x:c r="L73" s="30" t="str">
        <x:v>PSE-COLLAPSIBLE-PARKING-BOLLARD</x:v>
      </x:c>
      <x:c r="M73" s="30" t="str">
        <x:f>IF(G73="","Create as draft",IF(AND(H73&lt;&gt;C73,NOT(AND(C73="420-1",H73="PSE 420-1")),ABS(I73-F73)&gt;0.005),"Existing - title and price correction",IF(AND(H73&lt;&gt;C73,NOT(AND(C73="420-1",H73="PSE 420-1"))),"Existing - title correction",IF(ABS(I73-F73)&gt;0.005,"Existing - price correction","Existing - verified"))))</x:f>
        <x:v>Create as draft</x:v>
      </x:c>
      <x:c r="N73" s="33" t="str">
        <x:f>IF(I73="","",I73-F73)</x:f>
      </x:c>
    </x:row>
  </x:sheetData>
  <x:conditionalFormatting sqref="M2:M73">
    <x:cfRule type="containsText" dxfId="0" priority="1" operator="containsText" text="correction"/>
    <x:cfRule type="containsText" dxfId="1" priority="2" operator="containsText" text="Create"/>
    <x:cfRule type="containsText" dxfId="2" priority="3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7d41cfe3c53d4c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3.109999656677246" hidden="0" customWidth="1"/>
    <x:col min="5" max="5" width="9.670000076293945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</x:cols>
  <x:sheetData>
    <x:row r="1" ht="15" hidden="0" customHeight="1">
      <x:c r="A1" s="14" t="str">
        <x:v>Shopify Product ID</x:v>
      </x:c>
      <x:c r="B1" s="14" t="str">
        <x:v>Current Title</x:v>
      </x:c>
      <x:c r="C1" s="14" t="str">
        <x:v>Verified Model</x:v>
      </x:c>
      <x:c r="D1" s="14" t="str">
        <x:v>Current Price</x:v>
      </x:c>
      <x:c r="E1" s="14" t="str">
        <x:v>Available</x:v>
      </x:c>
      <x:c r="F1" s="14" t="str">
        <x:v>Current SKU</x:v>
      </x:c>
      <x:c r="G1" s="14" t="str">
        <x:v>Desired SKU</x:v>
      </x:c>
      <x:c r="H1" s="14" t="str">
        <x:v>Title Check</x:v>
      </x:c>
      <x:c r="I1" s="14" t="str">
        <x:v>Price Check</x:v>
      </x:c>
    </x:row>
    <x:row r="2" ht="15" hidden="0" customHeight="1">
      <x:c r="A2" s="18" t="str">
        <x:v>9193619980426</x:v>
      </x:c>
      <x:c r="B2" s="18" t="str">
        <x:v>PSE 420-1</x:v>
      </x:c>
      <x:c r="C2" s="18" t="str">
        <x:v>420-1</x:v>
      </x:c>
      <x:c r="D2" s="19" t="n">
        <x:v>852.91</x:v>
      </x:c>
      <x:c r="E2" s="20" t="n">
        <x:v>4</x:v>
      </x:c>
      <x:c r="F2" s="18" t="str"/>
      <x:c r="G2" s="18" t="str">
        <x:v>PSE-420-1</x:v>
      </x:c>
      <x:c r="H2" s="18" t="str">
        <x:v>Title matches</x:v>
      </x:c>
      <x:c r="I2" s="18" t="str">
        <x:v>Price verification required</x:v>
      </x:c>
    </x:row>
    <x:row r="3" ht="15" hidden="0" customHeight="1">
      <x:c r="A3" s="18" t="str">
        <x:v>9193606971530</x:v>
      </x:c>
      <x:c r="B3" s="18" t="str">
        <x:v>PSE 33-8</x:v>
      </x:c>
      <x:c r="C3" s="18" t="str">
        <x:v>PSE 33-8</x:v>
      </x:c>
      <x:c r="D3" s="19" t="n">
        <x:v>1042.74</x:v>
      </x:c>
      <x:c r="E3" s="20" t="n">
        <x:v>6</x:v>
      </x:c>
      <x:c r="F3" s="18" t="str"/>
      <x:c r="G3" s="18" t="str">
        <x:v>PSE-33-8</x:v>
      </x:c>
      <x:c r="H3" s="18" t="str">
        <x:v>Title matches</x:v>
      </x:c>
      <x:c r="I3" s="18" t="str">
        <x:v>Price verification required</x:v>
      </x:c>
    </x:row>
    <x:row r="4" ht="15" hidden="0" customHeight="1">
      <x:c r="A4" s="18" t="str">
        <x:v>9193580757130</x:v>
      </x:c>
      <x:c r="B4" s="18" t="str">
        <x:v>PSE FWB</x:v>
      </x:c>
      <x:c r="C4" s="18" t="str">
        <x:v>PSE FWB</x:v>
      </x:c>
      <x:c r="D4" s="19" t="n">
        <x:v>1141.9</x:v>
      </x:c>
      <x:c r="E4" s="20" t="n">
        <x:v>3</x:v>
      </x:c>
      <x:c r="F4" s="18" t="str"/>
      <x:c r="G4" s="18" t="str">
        <x:v>PSE-FWB</x:v>
      </x:c>
      <x:c r="H4" s="18" t="str">
        <x:v>Title matches</x:v>
      </x:c>
      <x:c r="I4" s="18" t="str">
        <x:v>Price verification required</x:v>
      </x:c>
    </x:row>
    <x:row r="5" ht="15" hidden="0" customHeight="1">
      <x:c r="A5" s="18" t="str">
        <x:v>9193579872394</x:v>
      </x:c>
      <x:c r="B5" s="18" t="str">
        <x:v>PSE 33-147-8-4</x:v>
      </x:c>
      <x:c r="C5" s="18" t="str">
        <x:v>PSE 33-147-8-4</x:v>
      </x:c>
      <x:c r="D5" s="19" t="n">
        <x:v>1567.33</x:v>
      </x:c>
      <x:c r="E5" s="20" t="n">
        <x:v>2</x:v>
      </x:c>
      <x:c r="F5" s="18" t="str"/>
      <x:c r="G5" s="18" t="str">
        <x:v>PSE-33-147-8-4</x:v>
      </x:c>
      <x:c r="H5" s="18" t="str">
        <x:v>Title matches</x:v>
      </x:c>
      <x:c r="I5" s="18" t="str">
        <x:v>Price verification required</x:v>
      </x:c>
    </x:row>
    <x:row r="6" ht="15" hidden="0" customHeight="1">
      <x:c r="A6" s="18" t="str">
        <x:v>9193579446410</x:v>
      </x:c>
      <x:c r="B6" s="18" t="str">
        <x:v>PSE 20-18</x:v>
      </x:c>
      <x:c r="C6" s="18" t="str">
        <x:v>PSE 20-18</x:v>
      </x:c>
      <x:c r="D6" s="19" t="n">
        <x:v>1309.7</x:v>
      </x:c>
      <x:c r="E6" s="20" t="n">
        <x:v>11</x:v>
      </x:c>
      <x:c r="F6" s="18" t="str"/>
      <x:c r="G6" s="18" t="str">
        <x:v>PSE-20-18</x:v>
      </x:c>
      <x:c r="H6" s="18" t="str">
        <x:v>Title matches</x:v>
      </x:c>
      <x:c r="I6" s="18" t="str">
        <x:v>Price verification required</x:v>
      </x:c>
    </x:row>
    <x:row r="7" ht="15" hidden="0" customHeight="1">
      <x:c r="A7" s="18" t="str">
        <x:v>9193578889354</x:v>
      </x:c>
      <x:c r="B7" s="18" t="str">
        <x:v>PSE 33-12</x:v>
      </x:c>
      <x:c r="C7" s="18" t="str">
        <x:v>PSE 33-18</x:v>
      </x:c>
      <x:c r="D7" s="19" t="n">
        <x:v>1249.12</x:v>
      </x:c>
      <x:c r="E7" s="20" t="n">
        <x:v>4</x:v>
      </x:c>
      <x:c r="F7" s="18" t="str"/>
      <x:c r="G7" s="18" t="str">
        <x:v>PSE-33-18</x:v>
      </x:c>
      <x:c r="H7" s="18" t="str">
        <x:v>Title correction required</x:v>
      </x:c>
      <x:c r="I7" s="18" t="str">
        <x:v>Price verification required</x:v>
      </x:c>
    </x:row>
    <x:row r="8" ht="15" hidden="0" customHeight="1">
      <x:c r="A8" s="18" t="str">
        <x:v>9193578594442</x:v>
      </x:c>
      <x:c r="B8" s="18" t="str">
        <x:v>PSE 20-12</x:v>
      </x:c>
      <x:c r="C8" s="18" t="str">
        <x:v>PSE 20-12</x:v>
      </x:c>
      <x:c r="D8" s="19" t="n">
        <x:v>891.46</x:v>
      </x:c>
      <x:c r="E8" s="20" t="n">
        <x:v>8</x:v>
      </x:c>
      <x:c r="F8" s="18" t="str"/>
      <x:c r="G8" s="18" t="str">
        <x:v>PSE-20-12</x:v>
      </x:c>
      <x:c r="H8" s="18" t="str">
        <x:v>Title matches</x:v>
      </x:c>
      <x:c r="I8" s="18" t="str">
        <x:v>Price verification required</x:v>
      </x:c>
    </x:row>
    <x:row r="9" ht="15" hidden="0" customHeight="1">
      <x:c r="A9" s="18" t="str">
        <x:v>9193578397834</x:v>
      </x:c>
      <x:c r="B9" s="18" t="str">
        <x:v>PSE 20-24</x:v>
      </x:c>
      <x:c r="C9" s="18" t="str">
        <x:v>PSE 20-24</x:v>
      </x:c>
      <x:c r="D9" s="19" t="n">
        <x:v>1499.44</x:v>
      </x:c>
      <x:c r="E9" s="20" t="n">
        <x:v>3</x:v>
      </x:c>
      <x:c r="F9" s="18" t="str"/>
      <x:c r="G9" s="18" t="str">
        <x:v>PSE-20-24</x:v>
      </x:c>
      <x:c r="H9" s="18" t="str">
        <x:v>Title matches</x:v>
      </x:c>
      <x:c r="I9" s="18" t="str">
        <x:v>Price verification required</x:v>
      </x:c>
    </x:row>
    <x:row r="10" ht="15" hidden="0" customHeight="1">
      <x:c r="A10" s="18" t="str">
        <x:v>9193578201226</x:v>
      </x:c>
      <x:c r="B10" s="18" t="str">
        <x:v>PSE 33-12</x:v>
      </x:c>
      <x:c r="C10" s="18" t="str">
        <x:v>PSE 33-12</x:v>
      </x:c>
      <x:c r="D10" s="19" t="n">
        <x:v>1008.93</x:v>
      </x:c>
      <x:c r="E10" s="20" t="n">
        <x:v>10</x:v>
      </x:c>
      <x:c r="F10" s="18" t="str"/>
      <x:c r="G10" s="18" t="str">
        <x:v>PSE-33-12</x:v>
      </x:c>
      <x:c r="H10" s="18" t="str">
        <x:v>Title matches</x:v>
      </x:c>
      <x:c r="I10" s="18" t="str">
        <x:v>Price verification required</x:v>
      </x:c>
    </x:row>
    <x:row r="11" ht="15" hidden="0" customHeight="1">
      <x:c r="A11" s="18" t="str">
        <x:v>9193566240906</x:v>
      </x:c>
      <x:c r="B11" s="18" t="str">
        <x:v>PSE 20-33-2</x:v>
      </x:c>
      <x:c r="C11" s="18" t="str">
        <x:v>PSE 20-33-2</x:v>
      </x:c>
      <x:c r="D11" s="19" t="n">
        <x:v>501.62</x:v>
      </x:c>
      <x:c r="E11" s="20" t="n">
        <x:v>5</x:v>
      </x:c>
      <x:c r="F11" s="18" t="str"/>
      <x:c r="G11" s="18" t="str">
        <x:v>PSE-20-33-2</x:v>
      </x:c>
      <x:c r="H11" s="18" t="str">
        <x:v>Title matches</x:v>
      </x:c>
      <x:c r="I11" s="18" t="str">
        <x:v>Price verification required</x:v>
      </x:c>
    </x:row>
    <x:row r="12" ht="15" hidden="0" customHeight="1">
      <x:c r="A12" s="18" t="str">
        <x:v>9193566208138</x:v>
      </x:c>
      <x:c r="B12" s="18" t="str">
        <x:v>PSE 100-20-8-18</x:v>
      </x:c>
      <x:c r="C12" s="18" t="str">
        <x:v>PSE 100-20-8-18</x:v>
      </x:c>
      <x:c r="D12" s="19" t="n">
        <x:v>1484.28</x:v>
      </x:c>
      <x:c r="E12" s="20" t="n">
        <x:v>4</x:v>
      </x:c>
      <x:c r="F12" s="18" t="str"/>
      <x:c r="G12" s="18" t="str">
        <x:v>PSE-100-20-8-18</x:v>
      </x:c>
      <x:c r="H12" s="18" t="str">
        <x:v>Title matches</x:v>
      </x:c>
      <x:c r="I12" s="18" t="str">
        <x:v>Price verification required</x:v>
      </x:c>
    </x:row>
    <x:row r="13" ht="15" hidden="0" customHeight="1">
      <x:c r="A13" s="18" t="str">
        <x:v>9193566175370</x:v>
      </x:c>
      <x:c r="B13" s="18" t="str">
        <x:v>PSE 20-33-6</x:v>
      </x:c>
      <x:c r="C13" s="18" t="str">
        <x:v>PSE 20-33-6</x:v>
      </x:c>
      <x:c r="D13" s="19" t="n">
        <x:v>633.41</x:v>
      </x:c>
      <x:c r="E13" s="20" t="n">
        <x:v>9</x:v>
      </x:c>
      <x:c r="F13" s="18" t="str"/>
      <x:c r="G13" s="18" t="str">
        <x:v>PSE-20-33-6</x:v>
      </x:c>
      <x:c r="H13" s="18" t="str">
        <x:v>Title matches</x:v>
      </x:c>
      <x:c r="I13" s="18" t="str">
        <x:v>Price verification required</x:v>
      </x:c>
    </x:row>
    <x:row r="14" ht="15" hidden="0" customHeight="1">
      <x:c r="A14" s="18" t="str">
        <x:v>9193566142602</x:v>
      </x:c>
      <x:c r="B14" s="18" t="str">
        <x:v>PSE 20-33-4</x:v>
      </x:c>
      <x:c r="C14" s="18" t="str">
        <x:v>PSE 20-33-4</x:v>
      </x:c>
      <x:c r="D14" s="19" t="n">
        <x:v>548.49</x:v>
      </x:c>
      <x:c r="E14" s="20" t="n">
        <x:v>7</x:v>
      </x:c>
      <x:c r="F14" s="18" t="str"/>
      <x:c r="G14" s="18" t="str">
        <x:v>PSE-20-33-4</x:v>
      </x:c>
      <x:c r="H14" s="18" t="str">
        <x:v>Title matches</x:v>
      </x:c>
      <x:c r="I14" s="18" t="str">
        <x:v>Price verification required</x:v>
      </x:c>
    </x:row>
  </x:sheetData>
  <x:conditionalFormatting sqref="H2:H14">
    <x:cfRule type="containsText" dxfId="3" priority="1" operator="containsText" text="required"/>
  </x:conditionalFormatting>
  <x:pageMargins left="0.7" right="0.7" top="0.75" bottom="0.75" header="0.3" footer="0.3"/>
  <x:tableParts count="1">
    <x:tablePart xmlns:r="http://schemas.openxmlformats.org/officeDocument/2006/relationships" r:id="R2791986cf88b47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15" hidden="0" customHeight="1">
      <x:c r="A1" s="14" t="str">
        <x:v>Gate</x:v>
      </x:c>
      <x:c r="B1" s="14" t="str">
        <x:v>Requirement</x:v>
      </x:c>
      <x:c r="C1" s="14" t="str">
        <x:v>Owner</x:v>
      </x:c>
      <x:c r="D1" s="14" t="str">
        <x:v>Status</x:v>
      </x:c>
      <x:c r="E1" s="14" t="str">
        <x:v>Evidence</x:v>
      </x:c>
      <x:c r="F1" s="14" t="str">
        <x:v>Blocking</x:v>
      </x:c>
    </x:row>
    <x:row r="2" ht="15" hidden="0" customHeight="1">
      <x:c r="A2" s="18" t="str">
        <x:v>Data</x:v>
      </x:c>
      <x:c r="B2" s="18" t="str">
        <x:v>72 catalogue products mapped</x:v>
      </x:c>
      <x:c r="C2" s="18" t="str">
        <x:v>Migration</x:v>
      </x:c>
      <x:c r="D2" s="18" t="str">
        <x:v>Complete</x:v>
      </x:c>
      <x:c r="E2" s="18" t="str">
        <x:v>Product Mapping sheet</x:v>
      </x:c>
      <x:c r="F2" s="18" t="str">
        <x:v>Yes</x:v>
      </x:c>
    </x:row>
    <x:row r="3" ht="15" hidden="0" customHeight="1">
      <x:c r="A3" s="18" t="str">
        <x:v>Data</x:v>
      </x:c>
      <x:c r="B3" s="18" t="str">
        <x:v>Existing Shopify IDs and stock preserved</x:v>
      </x:c>
      <x:c r="C3" s="18" t="str">
        <x:v>Migration</x:v>
      </x:c>
      <x:c r="D3" s="18" t="str">
        <x:v>Complete</x:v>
      </x:c>
      <x:c r="E3" s="18" t="str">
        <x:v>Shopify Existing sheet</x:v>
      </x:c>
      <x:c r="F3" s="18" t="str">
        <x:v>Yes</x:v>
      </x:c>
    </x:row>
    <x:row r="4" ht="15" hidden="0" customHeight="1">
      <x:c r="A4" s="18" t="str">
        <x:v>Data</x:v>
      </x:c>
      <x:c r="B4" s="18" t="str">
        <x:v>All current Shopify prices reconciled</x:v>
      </x:c>
      <x:c r="C4" s="18" t="str">
        <x:v>Migration</x:v>
      </x:c>
      <x:c r="D4" s="18" t="str">
        <x:v>In progress</x:v>
      </x:c>
      <x:c r="E4" s="18" t="str">
        <x:v>Price Difference column</x:v>
      </x:c>
      <x:c r="F4" s="18" t="str">
        <x:v>Yes</x:v>
      </x:c>
    </x:row>
    <x:row r="5" ht="15" hidden="0" customHeight="1">
      <x:c r="A5" s="18" t="str">
        <x:v>Data</x:v>
      </x:c>
      <x:c r="B5" s="18" t="str">
        <x:v>Every product/variant has a unique SKU</x:v>
      </x:c>
      <x:c r="C5" s="18" t="str">
        <x:v>Migration</x:v>
      </x:c>
      <x:c r="D5" s="18" t="str">
        <x:v>Pending</x:v>
      </x:c>
      <x:c r="E5" s="18" t="str">
        <x:v>Desired SKU column</x:v>
      </x:c>
      <x:c r="F5" s="18" t="str">
        <x:v>Yes</x:v>
      </x:c>
    </x:row>
    <x:row r="6" ht="15" hidden="0" customHeight="1">
      <x:c r="A6" s="18" t="str">
        <x:v>Media</x:v>
      </x:c>
      <x:c r="B6" s="18" t="str">
        <x:v>Product, context, and brochure media mapped</x:v>
      </x:c>
      <x:c r="C6" s="18" t="str">
        <x:v>Migration</x:v>
      </x:c>
      <x:c r="D6" s="18" t="str">
        <x:v>Pending</x:v>
      </x:c>
      <x:c r="E6" s="18" t="str"/>
      <x:c r="F6" s="18" t="str">
        <x:v>Yes</x:v>
      </x:c>
    </x:row>
    <x:row r="7" ht="15" hidden="0" customHeight="1">
      <x:c r="A7" s="18" t="str">
        <x:v>Theme</x:v>
      </x:c>
      <x:c r="B7" s="18" t="str">
        <x:v>Pixel-matched Liquid theme built as unpublished theme</x:v>
      </x:c>
      <x:c r="C7" s="18" t="str">
        <x:v>Development</x:v>
      </x:c>
      <x:c r="D7" s="18" t="str">
        <x:v>Pending</x:v>
      </x:c>
      <x:c r="E7" s="18" t="str"/>
      <x:c r="F7" s="18" t="str">
        <x:v>Yes</x:v>
      </x:c>
    </x:row>
    <x:row r="8" ht="15" hidden="0" customHeight="1">
      <x:c r="A8" s="18" t="str">
        <x:v>QA</x:v>
      </x:c>
      <x:c r="B8" s="18" t="str">
        <x:v>Desktop, tablet, and mobile comparison passed</x:v>
      </x:c>
      <x:c r="C8" s="18" t="str">
        <x:v>QA</x:v>
      </x:c>
      <x:c r="D8" s="18" t="str">
        <x:v>Pending</x:v>
      </x:c>
      <x:c r="E8" s="18" t="str"/>
      <x:c r="F8" s="18" t="str">
        <x:v>Yes</x:v>
      </x:c>
    </x:row>
    <x:row r="9" ht="15" hidden="0" customHeight="1">
      <x:c r="A9" s="18" t="str">
        <x:v>Commerce</x:v>
      </x:c>
      <x:c r="B9" s="18" t="str">
        <x:v>Cart, shipping, tax, and checkout test passed</x:v>
      </x:c>
      <x:c r="C9" s="18" t="str">
        <x:v>Merchant + QA</x:v>
      </x:c>
      <x:c r="D9" s="18" t="str">
        <x:v>Pending</x:v>
      </x:c>
      <x:c r="E9" s="18" t="str"/>
      <x:c r="F9" s="18" t="str">
        <x:v>Yes</x:v>
      </x:c>
    </x:row>
    <x:row r="10" ht="15" hidden="0" customHeight="1">
      <x:c r="A10" s="18" t="str">
        <x:v>Launch</x:v>
      </x:c>
      <x:c r="B10" s="18" t="str">
        <x:v>Domain, redirects, analytics, and tracking approved</x:v>
      </x:c>
      <x:c r="C10" s="18" t="str">
        <x:v>Merchant + Migration</x:v>
      </x:c>
      <x:c r="D10" s="18" t="str">
        <x:v>Pending</x:v>
      </x:c>
      <x:c r="E10" s="18" t="str"/>
      <x:c r="F10" s="18" t="str">
        <x:v>Yes</x:v>
      </x:c>
    </x:row>
  </x:sheetData>
  <x:conditionalFormatting sqref="D2:D10">
    <x:cfRule type="containsText" dxfId="4" priority="1" operator="containsText" text="Complete"/>
    <x:cfRule type="containsText" dxfId="5" priority="2" operator="containsText" text="Pending"/>
    <x:cfRule type="containsText" dxfId="6" priority="3" operator="containsText" text="In progress"/>
  </x:conditionalFormatting>
  <x:dataValidations count="1">
    <x:dataValidation type="list" sqref="D2:D10">
      <x:formula1>"Pending,In progress,Complete,Blocked"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4a43eb2ebd4627"/>
  </x:tableParts>
</x:worksheet>
</file>